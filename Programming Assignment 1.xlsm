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ustavo\Documents\"/>
    </mc:Choice>
  </mc:AlternateContent>
  <xr:revisionPtr revIDLastSave="0" documentId="13_ncr:1_{5CA4A62F-A695-4DE9-8A41-B9864E0B3EE5}" xr6:coauthVersionLast="32" xr6:coauthVersionMax="32" xr10:uidLastSave="{00000000-0000-0000-0000-000000000000}"/>
  <bookViews>
    <workbookView xWindow="0" yWindow="0" windowWidth="20520" windowHeight="9585" tabRatio="500" activeTab="3" xr2:uid="{00000000-000D-0000-FFFF-FFFF00000000}"/>
  </bookViews>
  <sheets>
    <sheet name="Data" sheetId="2" r:id="rId1"/>
    <sheet name="Data2" sheetId="1" r:id="rId2"/>
    <sheet name="Pivot" sheetId="3" r:id="rId3"/>
    <sheet name="Rep" sheetId="4" r:id="rId4"/>
  </sheets>
  <definedNames>
    <definedName name="_xlnm._FilterDatabase" localSheetId="0" hidden="1">Data!$A$1:$C$1</definedName>
    <definedName name="_xlnm.Print_Area" localSheetId="3">Rep!$C$1:$R$70</definedName>
  </definedNames>
  <calcPr calcId="179017"/>
  <pivotCaches>
    <pivotCache cacheId="4" r:id="rId5"/>
    <pivotCache cacheId="8" r:id="rId6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5" i="4" l="1"/>
  <c r="G15" i="4" s="1"/>
  <c r="H15" i="4" s="1"/>
  <c r="I15" i="4" s="1"/>
  <c r="J15" i="4" s="1"/>
  <c r="K15" i="4" s="1"/>
  <c r="L15" i="4" s="1"/>
  <c r="M15" i="4" s="1"/>
  <c r="N15" i="4" s="1"/>
  <c r="E45" i="4" s="1"/>
  <c r="W58" i="4"/>
  <c r="V58" i="4"/>
  <c r="V60" i="4"/>
  <c r="V64" i="4"/>
  <c r="V68" i="4"/>
  <c r="V69" i="4"/>
  <c r="V61" i="4"/>
  <c r="V65" i="4"/>
  <c r="V71" i="4"/>
  <c r="V62" i="4"/>
  <c r="V66" i="4"/>
  <c r="V70" i="4"/>
  <c r="V63" i="4"/>
  <c r="V67" i="4"/>
  <c r="V59" i="4"/>
  <c r="E32" i="4"/>
  <c r="I32" i="4"/>
  <c r="M32" i="4"/>
  <c r="G33" i="4"/>
  <c r="K33" i="4"/>
  <c r="E34" i="4"/>
  <c r="I34" i="4"/>
  <c r="M34" i="4"/>
  <c r="G35" i="4"/>
  <c r="K35" i="4"/>
  <c r="E36" i="4"/>
  <c r="I36" i="4"/>
  <c r="M36" i="4"/>
  <c r="G37" i="4"/>
  <c r="K37" i="4"/>
  <c r="E38" i="4"/>
  <c r="I38" i="4"/>
  <c r="M38" i="4"/>
  <c r="G39" i="4"/>
  <c r="K39" i="4"/>
  <c r="E40" i="4"/>
  <c r="I40" i="4"/>
  <c r="M40" i="4"/>
  <c r="G41" i="4"/>
  <c r="K41" i="4"/>
  <c r="E42" i="4"/>
  <c r="I42" i="4"/>
  <c r="M42" i="4"/>
  <c r="G43" i="4"/>
  <c r="K43" i="4"/>
  <c r="L43" i="4"/>
  <c r="K32" i="4"/>
  <c r="I33" i="4"/>
  <c r="G34" i="4"/>
  <c r="E35" i="4"/>
  <c r="M35" i="4"/>
  <c r="K36" i="4"/>
  <c r="I37" i="4"/>
  <c r="K38" i="4"/>
  <c r="I39" i="4"/>
  <c r="G40" i="4"/>
  <c r="E41" i="4"/>
  <c r="M41" i="4"/>
  <c r="K42" i="4"/>
  <c r="I43" i="4"/>
  <c r="M43" i="4"/>
  <c r="H32" i="4"/>
  <c r="F33" i="4"/>
  <c r="N33" i="4"/>
  <c r="H34" i="4"/>
  <c r="F35" i="4"/>
  <c r="J35" i="4"/>
  <c r="H36" i="4"/>
  <c r="L36" i="4"/>
  <c r="J37" i="4"/>
  <c r="N37" i="4"/>
  <c r="L38" i="4"/>
  <c r="F39" i="4"/>
  <c r="N39" i="4"/>
  <c r="H40" i="4"/>
  <c r="L40" i="4"/>
  <c r="F41" i="4"/>
  <c r="J41" i="4"/>
  <c r="N41" i="4"/>
  <c r="H42" i="4"/>
  <c r="L42" i="4"/>
  <c r="F43" i="4"/>
  <c r="J43" i="4"/>
  <c r="N43" i="4"/>
  <c r="F32" i="4"/>
  <c r="J32" i="4"/>
  <c r="N32" i="4"/>
  <c r="H33" i="4"/>
  <c r="L33" i="4"/>
  <c r="F34" i="4"/>
  <c r="J34" i="4"/>
  <c r="N34" i="4"/>
  <c r="H35" i="4"/>
  <c r="L35" i="4"/>
  <c r="F36" i="4"/>
  <c r="J36" i="4"/>
  <c r="N36" i="4"/>
  <c r="H37" i="4"/>
  <c r="L37" i="4"/>
  <c r="F38" i="4"/>
  <c r="J38" i="4"/>
  <c r="N38" i="4"/>
  <c r="H39" i="4"/>
  <c r="L39" i="4"/>
  <c r="F40" i="4"/>
  <c r="J40" i="4"/>
  <c r="N40" i="4"/>
  <c r="H41" i="4"/>
  <c r="L41" i="4"/>
  <c r="F42" i="4"/>
  <c r="J42" i="4"/>
  <c r="N42" i="4"/>
  <c r="H43" i="4"/>
  <c r="G32" i="4"/>
  <c r="E33" i="4"/>
  <c r="M33" i="4"/>
  <c r="K34" i="4"/>
  <c r="I35" i="4"/>
  <c r="G36" i="4"/>
  <c r="E37" i="4"/>
  <c r="M37" i="4"/>
  <c r="G38" i="4"/>
  <c r="E39" i="4"/>
  <c r="M39" i="4"/>
  <c r="K40" i="4"/>
  <c r="I41" i="4"/>
  <c r="G42" i="4"/>
  <c r="E43" i="4"/>
  <c r="L32" i="4"/>
  <c r="J33" i="4"/>
  <c r="L34" i="4"/>
  <c r="N35" i="4"/>
  <c r="F37" i="4"/>
  <c r="H38" i="4"/>
  <c r="J39" i="4"/>
  <c r="F31" i="4"/>
  <c r="J31" i="4"/>
  <c r="N31" i="4"/>
  <c r="L31" i="4"/>
  <c r="M31" i="4"/>
  <c r="G31" i="4"/>
  <c r="K31" i="4"/>
  <c r="H31" i="4"/>
  <c r="I31" i="4"/>
  <c r="E31" i="4"/>
  <c r="E58" i="4" l="1"/>
  <c r="W59" i="4"/>
  <c r="W71" i="4"/>
  <c r="W67" i="4"/>
  <c r="W65" i="4"/>
  <c r="W61" i="4"/>
  <c r="W69" i="4"/>
  <c r="W63" i="4"/>
  <c r="W70" i="4"/>
  <c r="W68" i="4"/>
  <c r="W66" i="4"/>
  <c r="W64" i="4"/>
  <c r="W62" i="4"/>
  <c r="W60" i="4"/>
  <c r="E20" i="4"/>
  <c r="I20" i="4"/>
  <c r="M20" i="4"/>
  <c r="G21" i="4"/>
  <c r="K21" i="4"/>
  <c r="E22" i="4"/>
  <c r="I22" i="4"/>
  <c r="M22" i="4"/>
  <c r="G23" i="4"/>
  <c r="K23" i="4"/>
  <c r="E24" i="4"/>
  <c r="I24" i="4"/>
  <c r="M24" i="4"/>
  <c r="G25" i="4"/>
  <c r="K25" i="4"/>
  <c r="E26" i="4"/>
  <c r="I26" i="4"/>
  <c r="M26" i="4"/>
  <c r="G27" i="4"/>
  <c r="K27" i="4"/>
  <c r="E28" i="4"/>
  <c r="I28" i="4"/>
  <c r="M28" i="4"/>
  <c r="G29" i="4"/>
  <c r="K29" i="4"/>
  <c r="J26" i="4"/>
  <c r="H27" i="4"/>
  <c r="F28" i="4"/>
  <c r="J28" i="4"/>
  <c r="N28" i="4"/>
  <c r="L29" i="4"/>
  <c r="G20" i="4"/>
  <c r="E21" i="4"/>
  <c r="I21" i="4"/>
  <c r="M21" i="4"/>
  <c r="K22" i="4"/>
  <c r="E23" i="4"/>
  <c r="M23" i="4"/>
  <c r="G24" i="4"/>
  <c r="E25" i="4"/>
  <c r="I25" i="4"/>
  <c r="G26" i="4"/>
  <c r="K26" i="4"/>
  <c r="I27" i="4"/>
  <c r="M27" i="4"/>
  <c r="K28" i="4"/>
  <c r="E29" i="4"/>
  <c r="M29" i="4"/>
  <c r="H20" i="4"/>
  <c r="F21" i="4"/>
  <c r="N21" i="4"/>
  <c r="H22" i="4"/>
  <c r="F23" i="4"/>
  <c r="J23" i="4"/>
  <c r="H24" i="4"/>
  <c r="L24" i="4"/>
  <c r="F25" i="4"/>
  <c r="N25" i="4"/>
  <c r="H26" i="4"/>
  <c r="F27" i="4"/>
  <c r="J27" i="4"/>
  <c r="H28" i="4"/>
  <c r="L28" i="4"/>
  <c r="F29" i="4"/>
  <c r="N29" i="4"/>
  <c r="F20" i="4"/>
  <c r="J20" i="4"/>
  <c r="N20" i="4"/>
  <c r="H21" i="4"/>
  <c r="L21" i="4"/>
  <c r="F22" i="4"/>
  <c r="J22" i="4"/>
  <c r="N22" i="4"/>
  <c r="H23" i="4"/>
  <c r="L23" i="4"/>
  <c r="F24" i="4"/>
  <c r="J24" i="4"/>
  <c r="N24" i="4"/>
  <c r="H25" i="4"/>
  <c r="L25" i="4"/>
  <c r="F26" i="4"/>
  <c r="N26" i="4"/>
  <c r="L27" i="4"/>
  <c r="H29" i="4"/>
  <c r="K20" i="4"/>
  <c r="G22" i="4"/>
  <c r="I23" i="4"/>
  <c r="K24" i="4"/>
  <c r="M25" i="4"/>
  <c r="E27" i="4"/>
  <c r="G28" i="4"/>
  <c r="I29" i="4"/>
  <c r="L20" i="4"/>
  <c r="J21" i="4"/>
  <c r="L22" i="4"/>
  <c r="N23" i="4"/>
  <c r="J25" i="4"/>
  <c r="L26" i="4"/>
  <c r="N27" i="4"/>
  <c r="J29" i="4"/>
  <c r="F19" i="4"/>
  <c r="J19" i="4"/>
  <c r="N19" i="4"/>
  <c r="G19" i="4"/>
  <c r="K19" i="4"/>
  <c r="M19" i="4"/>
  <c r="H19" i="4"/>
  <c r="L19" i="4"/>
  <c r="I19" i="4"/>
  <c r="E19" i="4"/>
  <c r="V47" i="4"/>
  <c r="V48" i="4"/>
  <c r="V49" i="4"/>
  <c r="V53" i="4"/>
  <c r="V50" i="4"/>
  <c r="V54" i="4"/>
  <c r="V51" i="4"/>
  <c r="V55" i="4"/>
  <c r="V52" i="4"/>
  <c r="V56" i="4"/>
  <c r="V46" i="4"/>
  <c r="N16" i="4"/>
  <c r="J16" i="4"/>
  <c r="F16" i="4"/>
  <c r="I16" i="4"/>
  <c r="H16" i="4"/>
  <c r="K16" i="4"/>
  <c r="G16" i="4"/>
  <c r="M16" i="4"/>
  <c r="L16" i="4"/>
  <c r="E16" i="4"/>
  <c r="W46" i="4" l="1"/>
  <c r="W54" i="4"/>
  <c r="W56" i="4"/>
  <c r="W52" i="4"/>
  <c r="W50" i="4"/>
  <c r="W48" i="4"/>
  <c r="W55" i="4"/>
  <c r="W53" i="4"/>
  <c r="W51" i="4"/>
  <c r="W49" i="4"/>
  <c r="W47" i="4"/>
  <c r="E17" i="4"/>
  <c r="L17" i="4"/>
  <c r="M17" i="4"/>
  <c r="G17" i="4"/>
  <c r="K17" i="4"/>
  <c r="H17" i="4"/>
  <c r="I17" i="4"/>
  <c r="F17" i="4"/>
  <c r="J17" i="4"/>
  <c r="N17" i="4"/>
</calcChain>
</file>

<file path=xl/sharedStrings.xml><?xml version="1.0" encoding="utf-8"?>
<sst xmlns="http://schemas.openxmlformats.org/spreadsheetml/2006/main" count="4440" uniqueCount="42">
  <si>
    <t>Year</t>
  </si>
  <si>
    <t>Glob</t>
  </si>
  <si>
    <t>NHem</t>
  </si>
  <si>
    <t>SHem</t>
  </si>
  <si>
    <t>24N-90N</t>
  </si>
  <si>
    <t>24S-24N</t>
  </si>
  <si>
    <t>90S-24S</t>
  </si>
  <si>
    <t>64N-90N</t>
  </si>
  <si>
    <t>44N-64N</t>
  </si>
  <si>
    <t>24N-44N</t>
  </si>
  <si>
    <t>EQU-24N</t>
  </si>
  <si>
    <t>24S-EQU</t>
  </si>
  <si>
    <t>44S-24S</t>
  </si>
  <si>
    <t>64S-44S</t>
  </si>
  <si>
    <t>90S-64S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</si>
  <si>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</si>
  <si>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</si>
  <si>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</si>
  <si>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</si>
  <si>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</si>
  <si>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</si>
  <si>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</si>
  <si>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</si>
  <si>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</si>
  <si>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</si>
  <si>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</si>
  <si>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</si>
  <si>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J-D</t>
  </si>
  <si>
    <t>D-N</t>
  </si>
  <si>
    <t>DJF</t>
  </si>
  <si>
    <t>MAM</t>
  </si>
  <si>
    <t>JJA</t>
  </si>
  <si>
    <t>SON</t>
  </si>
  <si>
    <t>Month</t>
  </si>
  <si>
    <t>Temp</t>
  </si>
  <si>
    <t>Grand Total</t>
  </si>
  <si>
    <t xml:space="preserve">Temp </t>
  </si>
  <si>
    <t>Zone</t>
  </si>
  <si>
    <t>Global</t>
  </si>
  <si>
    <t>Average Global Temperature by Year</t>
  </si>
  <si>
    <t>AVG</t>
  </si>
  <si>
    <t>Temperature ( 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</si>
</sst>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&quot;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sz val="3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6"/>
      <color theme="1"/>
      <name val="Calibri"/>
      <family val="2"/>
      <scheme val="minor"/>
    </font>
    <font>
      <sz val="12"/>
      <color theme="1"/>
      <name val="Webdings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right"/>
    </xf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 textRotation="90"/>
    </xf>
    <xf numFmtId="0" fontId="3" fillId="0" borderId="0" xfId="0" applyFont="1"/>
    <xf numFmtId="0" fontId="0" fillId="0" borderId="0" xfId="0" applyAlignment="1">
      <alignment horizontal="right" indent="1"/>
    </xf>
    <xf numFmtId="0" fontId="4" fillId="0" borderId="0" xfId="0" applyFont="1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right" indent="1"/>
    </xf>
    <xf numFmtId="0" fontId="2" fillId="0" borderId="0" xfId="0" applyFont="1" applyAlignment="1">
      <alignment horizontal="right"/>
    </xf>
    <xf numFmtId="164" fontId="2" fillId="0" borderId="0" xfId="0" applyNumberFormat="1" applyFont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6" fillId="3" borderId="0" xfId="0" applyFont="1" applyFill="1" applyAlignment="1">
      <alignment horizontal="center"/>
    </xf>
    <xf numFmtId="0" fontId="7" fillId="0" borderId="0" xfId="0" applyFont="1" applyAlignment="1">
      <alignment horizontal="right" indent="1"/>
    </xf>
    <xf numFmtId="0" fontId="8" fillId="0" borderId="0" xfId="0" applyFont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3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theme="4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16354940929422E-2"/>
          <c:y val="7.785296068760636E-2"/>
          <c:w val="0.93198476148405818"/>
          <c:h val="0.8431173026448618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Rep!$E$16:$N$16</c:f>
              <c:numCache>
                <c:formatCode>General</c:formatCode>
                <c:ptCount val="10"/>
                <c:pt idx="0">
                  <c:v>69</c:v>
                </c:pt>
                <c:pt idx="1">
                  <c:v>64</c:v>
                </c:pt>
                <c:pt idx="2">
                  <c:v>66</c:v>
                </c:pt>
                <c:pt idx="3">
                  <c:v>54</c:v>
                </c:pt>
                <c:pt idx="4">
                  <c:v>65</c:v>
                </c:pt>
                <c:pt idx="5">
                  <c:v>71</c:v>
                </c:pt>
                <c:pt idx="6">
                  <c:v>60</c:v>
                </c:pt>
                <c:pt idx="7">
                  <c:v>63</c:v>
                </c:pt>
                <c:pt idx="8">
                  <c:v>66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C-45E3-8C0D-EB46D386E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236136"/>
        <c:axId val="631236464"/>
      </c:lineChart>
      <c:catAx>
        <c:axId val="631236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631236464"/>
        <c:crosses val="autoZero"/>
        <c:auto val="1"/>
        <c:lblAlgn val="ctr"/>
        <c:lblOffset val="100"/>
        <c:noMultiLvlLbl val="0"/>
      </c:catAx>
      <c:valAx>
        <c:axId val="6312364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3123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981489497938446E-2"/>
          <c:y val="9.2352092352092352E-2"/>
          <c:w val="0.92129628195105751"/>
          <c:h val="0.73887430737824433"/>
        </c:manualLayout>
      </c:layout>
      <c:lineChart>
        <c:grouping val="standard"/>
        <c:varyColors val="0"/>
        <c:ser>
          <c:idx val="0"/>
          <c:order val="0"/>
          <c:tx>
            <c:strRef>
              <c:f>Rep!$V$45</c:f>
              <c:strCache>
                <c:ptCount val="1"/>
                <c:pt idx="0">
                  <c:v>2007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Rep!$U$46:$U$56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Rep!$V$46:$V$56</c:f>
              <c:numCache>
                <c:formatCode>General</c:formatCode>
                <c:ptCount val="11"/>
                <c:pt idx="0">
                  <c:v>97</c:v>
                </c:pt>
                <c:pt idx="1">
                  <c:v>70</c:v>
                </c:pt>
                <c:pt idx="2">
                  <c:v>70</c:v>
                </c:pt>
                <c:pt idx="3">
                  <c:v>75</c:v>
                </c:pt>
                <c:pt idx="4">
                  <c:v>59</c:v>
                </c:pt>
                <c:pt idx="5">
                  <c:v>62</c:v>
                </c:pt>
                <c:pt idx="6">
                  <c:v>61</c:v>
                </c:pt>
                <c:pt idx="7">
                  <c:v>65</c:v>
                </c:pt>
                <c:pt idx="8">
                  <c:v>61</c:v>
                </c:pt>
                <c:pt idx="9">
                  <c:v>57</c:v>
                </c:pt>
                <c:pt idx="1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319-8102-7E09988C58A8}"/>
            </c:ext>
          </c:extLst>
        </c:ser>
        <c:ser>
          <c:idx val="1"/>
          <c:order val="1"/>
          <c:tx>
            <c:strRef>
              <c:f>Rep!$W$45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bg1"/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Rep!$U$46:$U$56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Rep!$W$46:$W$56</c:f>
              <c:numCache>
                <c:formatCode>0.0</c:formatCode>
                <c:ptCount val="11"/>
                <c:pt idx="0">
                  <c:v>62.4</c:v>
                </c:pt>
                <c:pt idx="1">
                  <c:v>57.6</c:v>
                </c:pt>
                <c:pt idx="2">
                  <c:v>68.599999999999994</c:v>
                </c:pt>
                <c:pt idx="3">
                  <c:v>66.2</c:v>
                </c:pt>
                <c:pt idx="4">
                  <c:v>62</c:v>
                </c:pt>
                <c:pt idx="5">
                  <c:v>62.4</c:v>
                </c:pt>
                <c:pt idx="6">
                  <c:v>65.8</c:v>
                </c:pt>
                <c:pt idx="7">
                  <c:v>69.8</c:v>
                </c:pt>
                <c:pt idx="8">
                  <c:v>71.599999999999994</c:v>
                </c:pt>
                <c:pt idx="9">
                  <c:v>70.8</c:v>
                </c:pt>
                <c:pt idx="10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9-4319-8102-7E09988C5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447216"/>
        <c:axId val="646450168"/>
      </c:lineChart>
      <c:catAx>
        <c:axId val="64644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50168"/>
        <c:crosses val="autoZero"/>
        <c:auto val="1"/>
        <c:lblAlgn val="ctr"/>
        <c:lblOffset val="100"/>
        <c:noMultiLvlLbl val="0"/>
      </c:catAx>
      <c:valAx>
        <c:axId val="6464501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644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354408219173735E-2"/>
          <c:y val="9.2364302393287939E-2"/>
          <c:w val="0.94092905359826928"/>
          <c:h val="0.65187489720832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Rep!$V$58</c:f>
              <c:strCache>
                <c:ptCount val="1"/>
                <c:pt idx="0">
                  <c:v>2007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Rep!$U$59:$U$71</c:f>
              <c:strCache>
                <c:ptCount val="13"/>
                <c:pt idx="0">
                  <c:v>NHem</c:v>
                </c:pt>
                <c:pt idx="1">
                  <c:v>24N-90N</c:v>
                </c:pt>
                <c:pt idx="2">
                  <c:v>64N-90N</c:v>
                </c:pt>
                <c:pt idx="3">
                  <c:v>44N-64N</c:v>
                </c:pt>
                <c:pt idx="4">
                  <c:v>24N-44N</c:v>
                </c:pt>
                <c:pt idx="5">
                  <c:v>EQU-24N</c:v>
                </c:pt>
                <c:pt idx="6">
                  <c:v>24S-24N</c:v>
                </c:pt>
                <c:pt idx="7">
                  <c:v>24S-EQU</c:v>
                </c:pt>
                <c:pt idx="8">
                  <c:v>44S-24S</c:v>
                </c:pt>
                <c:pt idx="9">
                  <c:v>64S-44S</c:v>
                </c:pt>
                <c:pt idx="10">
                  <c:v>90S-64S</c:v>
                </c:pt>
                <c:pt idx="11">
                  <c:v>90S-24S</c:v>
                </c:pt>
                <c:pt idx="12">
                  <c:v>SHem</c:v>
                </c:pt>
              </c:strCache>
            </c:strRef>
          </c:cat>
          <c:val>
            <c:numRef>
              <c:f>Rep!$V$59:$V$71</c:f>
              <c:numCache>
                <c:formatCode>General</c:formatCode>
                <c:ptCount val="13"/>
                <c:pt idx="0">
                  <c:v>83</c:v>
                </c:pt>
                <c:pt idx="1">
                  <c:v>110</c:v>
                </c:pt>
                <c:pt idx="2">
                  <c:v>201</c:v>
                </c:pt>
                <c:pt idx="3">
                  <c:v>129</c:v>
                </c:pt>
                <c:pt idx="4">
                  <c:v>69</c:v>
                </c:pt>
                <c:pt idx="5">
                  <c:v>44</c:v>
                </c:pt>
                <c:pt idx="6">
                  <c:v>47</c:v>
                </c:pt>
                <c:pt idx="7">
                  <c:v>50</c:v>
                </c:pt>
                <c:pt idx="8">
                  <c:v>54</c:v>
                </c:pt>
                <c:pt idx="9">
                  <c:v>6</c:v>
                </c:pt>
                <c:pt idx="10">
                  <c:v>117</c:v>
                </c:pt>
                <c:pt idx="11">
                  <c:v>48</c:v>
                </c:pt>
                <c:pt idx="1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D-49C4-84ED-F0A163970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46234376"/>
        <c:axId val="646234704"/>
      </c:barChart>
      <c:lineChart>
        <c:grouping val="standard"/>
        <c:varyColors val="0"/>
        <c:ser>
          <c:idx val="1"/>
          <c:order val="1"/>
          <c:tx>
            <c:strRef>
              <c:f>Rep!$W$58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8"/>
            <c:spPr>
              <a:solidFill>
                <a:schemeClr val="accent4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Rep!$U$59:$U$71</c:f>
              <c:strCache>
                <c:ptCount val="13"/>
                <c:pt idx="0">
                  <c:v>NHem</c:v>
                </c:pt>
                <c:pt idx="1">
                  <c:v>24N-90N</c:v>
                </c:pt>
                <c:pt idx="2">
                  <c:v>64N-90N</c:v>
                </c:pt>
                <c:pt idx="3">
                  <c:v>44N-64N</c:v>
                </c:pt>
                <c:pt idx="4">
                  <c:v>24N-44N</c:v>
                </c:pt>
                <c:pt idx="5">
                  <c:v>EQU-24N</c:v>
                </c:pt>
                <c:pt idx="6">
                  <c:v>24S-24N</c:v>
                </c:pt>
                <c:pt idx="7">
                  <c:v>24S-EQU</c:v>
                </c:pt>
                <c:pt idx="8">
                  <c:v>44S-24S</c:v>
                </c:pt>
                <c:pt idx="9">
                  <c:v>64S-44S</c:v>
                </c:pt>
                <c:pt idx="10">
                  <c:v>90S-64S</c:v>
                </c:pt>
                <c:pt idx="11">
                  <c:v>90S-24S</c:v>
                </c:pt>
                <c:pt idx="12">
                  <c:v>SHem</c:v>
                </c:pt>
              </c:strCache>
            </c:strRef>
          </c:cat>
          <c:val>
            <c:numRef>
              <c:f>Rep!$W$59:$W$71</c:f>
              <c:numCache>
                <c:formatCode>0.0</c:formatCode>
                <c:ptCount val="13"/>
                <c:pt idx="0">
                  <c:v>78.7</c:v>
                </c:pt>
                <c:pt idx="1">
                  <c:v>94.9</c:v>
                </c:pt>
                <c:pt idx="2">
                  <c:v>175.2</c:v>
                </c:pt>
                <c:pt idx="3">
                  <c:v>99.1</c:v>
                </c:pt>
                <c:pt idx="4">
                  <c:v>66.8</c:v>
                </c:pt>
                <c:pt idx="5">
                  <c:v>54.2</c:v>
                </c:pt>
                <c:pt idx="6">
                  <c:v>55.7</c:v>
                </c:pt>
                <c:pt idx="7">
                  <c:v>57.5</c:v>
                </c:pt>
                <c:pt idx="8">
                  <c:v>61.1</c:v>
                </c:pt>
                <c:pt idx="9">
                  <c:v>20</c:v>
                </c:pt>
                <c:pt idx="10">
                  <c:v>64.099999999999994</c:v>
                </c:pt>
                <c:pt idx="11">
                  <c:v>48.2</c:v>
                </c:pt>
                <c:pt idx="12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D-49C4-84ED-F0A163970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34376"/>
        <c:axId val="646234704"/>
      </c:lineChart>
      <c:catAx>
        <c:axId val="64623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34704"/>
        <c:crosses val="autoZero"/>
        <c:auto val="1"/>
        <c:lblAlgn val="ctr"/>
        <c:lblOffset val="100"/>
        <c:noMultiLvlLbl val="0"/>
      </c:catAx>
      <c:valAx>
        <c:axId val="6462347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623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685799</xdr:colOff>
      <xdr:row>3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290484-A96D-4F6E-A26B-F3672AC45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671514</xdr:colOff>
      <xdr:row>45</xdr:row>
      <xdr:rowOff>0</xdr:rowOff>
    </xdr:from>
    <xdr:to>
      <xdr:col>15</xdr:col>
      <xdr:colOff>0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485059-6528-4829-A413-B9E58AFF4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14</xdr:col>
      <xdr:colOff>0</xdr:colOff>
      <xdr:row>69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D3A0EF-F55A-47C0-AFB1-CBB9226D7F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" refreshedDate="43226.454382523145" createdVersion="6" refreshedVersion="6" minRefreshableVersion="3" recordCount="2448" xr:uid="{DD0648E3-8367-47B3-8767-07E9512AF790}">
  <cacheSource type="worksheet">
    <worksheetSource ref="A1:C2449" sheet="Data"/>
  </cacheSource>
  <cacheFields count="3">
    <cacheField name="Year" numFmtId="0">
      <sharedItems containsSemiMixedTypes="0" containsString="0" containsNumber="1" containsInteger="1" minValue="1880" maxValue="2015" count="136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</sharedItems>
    </cacheField>
    <cacheField name="Month" numFmtId="0">
      <sharedItems count="18">
        <s v="Jan"/>
        <s v="Feb"/>
        <s v="Mar"/>
        <s v="Apr"/>
        <s v="May"/>
        <s v="Jun"/>
        <s v="Jul"/>
        <s v="Aug"/>
        <s v="Sep"/>
        <s v="Oct"/>
        <s v="Nov"/>
        <s v="Dec"/>
        <s v="J-D"/>
        <s v="D-N"/>
        <s v="DJF"/>
        <s v="MAM"/>
        <s v="JJA"/>
        <s v="SON"/>
      </sharedItems>
    </cacheField>
    <cacheField name="Temp" numFmtId="0">
      <sharedItems containsString="0" containsBlank="1" containsNumber="1" containsInteger="1" minValue="-77" maxValue="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" refreshedDate="43226.458741435184" createdVersion="6" refreshedVersion="6" minRefreshableVersion="3" recordCount="1890" xr:uid="{0CF38B4C-DC90-4BBF-90C4-FA40E4905180}">
  <cacheSource type="worksheet">
    <worksheetSource ref="A1:C1891" sheet="Data2"/>
  </cacheSource>
  <cacheFields count="3">
    <cacheField name="Year" numFmtId="0">
      <sharedItems containsSemiMixedTypes="0" containsString="0" containsNumber="1" containsInteger="1" minValue="1880" maxValue="2014" count="135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Zone" numFmtId="0">
      <sharedItems count="14">
        <s v="Glob"/>
        <s v="NHem"/>
        <s v="SHem"/>
        <s v="24N-90N"/>
        <s v="24S-24N"/>
        <s v="90S-24S"/>
        <s v="64N-90N"/>
        <s v="44N-64N"/>
        <s v="24N-44N"/>
        <s v="EQU-24N"/>
        <s v="24S-EQU"/>
        <s v="44S-24S"/>
        <s v="64S-44S"/>
        <s v="90S-64S"/>
      </sharedItems>
    </cacheField>
    <cacheField name="Temp" numFmtId="0">
      <sharedItems containsSemiMixedTypes="0" containsString="0" containsNumber="1" containsInteger="1" minValue="-237" maxValue="2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8">
  <r>
    <x v="0"/>
    <x v="0"/>
    <n v="-29"/>
  </r>
  <r>
    <x v="1"/>
    <x v="0"/>
    <n v="-8"/>
  </r>
  <r>
    <x v="2"/>
    <x v="0"/>
    <n v="10"/>
  </r>
  <r>
    <x v="3"/>
    <x v="0"/>
    <n v="-32"/>
  </r>
  <r>
    <x v="4"/>
    <x v="0"/>
    <n v="-17"/>
  </r>
  <r>
    <x v="5"/>
    <x v="0"/>
    <n v="-64"/>
  </r>
  <r>
    <x v="6"/>
    <x v="0"/>
    <n v="-41"/>
  </r>
  <r>
    <x v="7"/>
    <x v="0"/>
    <n v="-65"/>
  </r>
  <r>
    <x v="8"/>
    <x v="0"/>
    <n v="-42"/>
  </r>
  <r>
    <x v="9"/>
    <x v="0"/>
    <n v="-19"/>
  </r>
  <r>
    <x v="10"/>
    <x v="0"/>
    <n v="-46"/>
  </r>
  <r>
    <x v="11"/>
    <x v="0"/>
    <n v="-45"/>
  </r>
  <r>
    <x v="12"/>
    <x v="0"/>
    <n v="-24"/>
  </r>
  <r>
    <x v="13"/>
    <x v="0"/>
    <n v="-67"/>
  </r>
  <r>
    <x v="14"/>
    <x v="0"/>
    <n v="-54"/>
  </r>
  <r>
    <x v="15"/>
    <x v="0"/>
    <n v="-43"/>
  </r>
  <r>
    <x v="16"/>
    <x v="0"/>
    <n v="-22"/>
  </r>
  <r>
    <x v="17"/>
    <x v="0"/>
    <n v="-22"/>
  </r>
  <r>
    <x v="18"/>
    <x v="0"/>
    <n v="-7"/>
  </r>
  <r>
    <x v="19"/>
    <x v="0"/>
    <n v="-17"/>
  </r>
  <r>
    <x v="20"/>
    <x v="0"/>
    <n v="-39"/>
  </r>
  <r>
    <x v="21"/>
    <x v="0"/>
    <n v="-28"/>
  </r>
  <r>
    <x v="22"/>
    <x v="0"/>
    <n v="-18"/>
  </r>
  <r>
    <x v="23"/>
    <x v="0"/>
    <n v="-27"/>
  </r>
  <r>
    <x v="24"/>
    <x v="0"/>
    <n v="-63"/>
  </r>
  <r>
    <x v="25"/>
    <x v="0"/>
    <n v="-37"/>
  </r>
  <r>
    <x v="26"/>
    <x v="0"/>
    <n v="-29"/>
  </r>
  <r>
    <x v="27"/>
    <x v="0"/>
    <n v="-43"/>
  </r>
  <r>
    <x v="28"/>
    <x v="0"/>
    <n v="-44"/>
  </r>
  <r>
    <x v="29"/>
    <x v="0"/>
    <n v="-69"/>
  </r>
  <r>
    <x v="30"/>
    <x v="0"/>
    <n v="-44"/>
  </r>
  <r>
    <x v="31"/>
    <x v="0"/>
    <n v="-63"/>
  </r>
  <r>
    <x v="32"/>
    <x v="0"/>
    <n v="-27"/>
  </r>
  <r>
    <x v="33"/>
    <x v="0"/>
    <n v="-40"/>
  </r>
  <r>
    <x v="34"/>
    <x v="0"/>
    <n v="2"/>
  </r>
  <r>
    <x v="35"/>
    <x v="0"/>
    <n v="-19"/>
  </r>
  <r>
    <x v="36"/>
    <x v="0"/>
    <n v="-19"/>
  </r>
  <r>
    <x v="37"/>
    <x v="0"/>
    <n v="-46"/>
  </r>
  <r>
    <x v="38"/>
    <x v="0"/>
    <n v="-43"/>
  </r>
  <r>
    <x v="39"/>
    <x v="0"/>
    <n v="-17"/>
  </r>
  <r>
    <x v="40"/>
    <x v="0"/>
    <n v="-14"/>
  </r>
  <r>
    <x v="41"/>
    <x v="0"/>
    <n v="-2"/>
  </r>
  <r>
    <x v="42"/>
    <x v="0"/>
    <n v="-31"/>
  </r>
  <r>
    <x v="43"/>
    <x v="0"/>
    <n v="-25"/>
  </r>
  <r>
    <x v="44"/>
    <x v="0"/>
    <n v="-21"/>
  </r>
  <r>
    <x v="45"/>
    <x v="0"/>
    <n v="-32"/>
  </r>
  <r>
    <x v="46"/>
    <x v="0"/>
    <n v="22"/>
  </r>
  <r>
    <x v="47"/>
    <x v="0"/>
    <n v="-26"/>
  </r>
  <r>
    <x v="48"/>
    <x v="0"/>
    <n v="-2"/>
  </r>
  <r>
    <x v="49"/>
    <x v="0"/>
    <n v="-46"/>
  </r>
  <r>
    <x v="50"/>
    <x v="0"/>
    <n v="-28"/>
  </r>
  <r>
    <x v="51"/>
    <x v="0"/>
    <n v="-10"/>
  </r>
  <r>
    <x v="52"/>
    <x v="0"/>
    <n v="14"/>
  </r>
  <r>
    <x v="53"/>
    <x v="0"/>
    <n v="-31"/>
  </r>
  <r>
    <x v="54"/>
    <x v="0"/>
    <n v="-25"/>
  </r>
  <r>
    <x v="55"/>
    <x v="0"/>
    <n v="-37"/>
  </r>
  <r>
    <x v="56"/>
    <x v="0"/>
    <n v="-28"/>
  </r>
  <r>
    <x v="57"/>
    <x v="0"/>
    <n v="-7"/>
  </r>
  <r>
    <x v="58"/>
    <x v="0"/>
    <n v="3"/>
  </r>
  <r>
    <x v="59"/>
    <x v="0"/>
    <n v="-12"/>
  </r>
  <r>
    <x v="60"/>
    <x v="0"/>
    <n v="-13"/>
  </r>
  <r>
    <x v="61"/>
    <x v="0"/>
    <n v="13"/>
  </r>
  <r>
    <x v="62"/>
    <x v="0"/>
    <n v="29"/>
  </r>
  <r>
    <x v="63"/>
    <x v="0"/>
    <n v="1"/>
  </r>
  <r>
    <x v="64"/>
    <x v="0"/>
    <n v="42"/>
  </r>
  <r>
    <x v="65"/>
    <x v="0"/>
    <n v="15"/>
  </r>
  <r>
    <x v="66"/>
    <x v="0"/>
    <n v="17"/>
  </r>
  <r>
    <x v="67"/>
    <x v="0"/>
    <n v="-8"/>
  </r>
  <r>
    <x v="68"/>
    <x v="0"/>
    <n v="6"/>
  </r>
  <r>
    <x v="69"/>
    <x v="0"/>
    <n v="10"/>
  </r>
  <r>
    <x v="70"/>
    <x v="0"/>
    <n v="-27"/>
  </r>
  <r>
    <x v="71"/>
    <x v="0"/>
    <n v="-35"/>
  </r>
  <r>
    <x v="72"/>
    <x v="0"/>
    <n v="16"/>
  </r>
  <r>
    <x v="73"/>
    <x v="0"/>
    <n v="9"/>
  </r>
  <r>
    <x v="74"/>
    <x v="0"/>
    <n v="-27"/>
  </r>
  <r>
    <x v="75"/>
    <x v="0"/>
    <n v="12"/>
  </r>
  <r>
    <x v="76"/>
    <x v="0"/>
    <n v="-16"/>
  </r>
  <r>
    <x v="77"/>
    <x v="0"/>
    <n v="-13"/>
  </r>
  <r>
    <x v="78"/>
    <x v="0"/>
    <n v="37"/>
  </r>
  <r>
    <x v="79"/>
    <x v="0"/>
    <n v="6"/>
  </r>
  <r>
    <x v="80"/>
    <x v="0"/>
    <n v="-2"/>
  </r>
  <r>
    <x v="81"/>
    <x v="0"/>
    <n v="7"/>
  </r>
  <r>
    <x v="82"/>
    <x v="0"/>
    <n v="7"/>
  </r>
  <r>
    <x v="83"/>
    <x v="0"/>
    <n v="-3"/>
  </r>
  <r>
    <x v="84"/>
    <x v="0"/>
    <n v="-6"/>
  </r>
  <r>
    <x v="85"/>
    <x v="0"/>
    <n v="-9"/>
  </r>
  <r>
    <x v="86"/>
    <x v="0"/>
    <n v="-16"/>
  </r>
  <r>
    <x v="87"/>
    <x v="0"/>
    <n v="-7"/>
  </r>
  <r>
    <x v="88"/>
    <x v="0"/>
    <n v="-22"/>
  </r>
  <r>
    <x v="89"/>
    <x v="0"/>
    <n v="-11"/>
  </r>
  <r>
    <x v="90"/>
    <x v="0"/>
    <n v="10"/>
  </r>
  <r>
    <x v="91"/>
    <x v="0"/>
    <n v="-3"/>
  </r>
  <r>
    <x v="92"/>
    <x v="0"/>
    <n v="-26"/>
  </r>
  <r>
    <x v="93"/>
    <x v="0"/>
    <n v="27"/>
  </r>
  <r>
    <x v="94"/>
    <x v="0"/>
    <n v="-14"/>
  </r>
  <r>
    <x v="95"/>
    <x v="0"/>
    <n v="8"/>
  </r>
  <r>
    <x v="96"/>
    <x v="0"/>
    <n v="-1"/>
  </r>
  <r>
    <x v="97"/>
    <x v="0"/>
    <n v="17"/>
  </r>
  <r>
    <x v="98"/>
    <x v="0"/>
    <n v="8"/>
  </r>
  <r>
    <x v="99"/>
    <x v="0"/>
    <n v="15"/>
  </r>
  <r>
    <x v="100"/>
    <x v="0"/>
    <n v="30"/>
  </r>
  <r>
    <x v="101"/>
    <x v="0"/>
    <n v="55"/>
  </r>
  <r>
    <x v="102"/>
    <x v="0"/>
    <n v="9"/>
  </r>
  <r>
    <x v="103"/>
    <x v="0"/>
    <n v="53"/>
  </r>
  <r>
    <x v="104"/>
    <x v="0"/>
    <n v="31"/>
  </r>
  <r>
    <x v="105"/>
    <x v="0"/>
    <n v="22"/>
  </r>
  <r>
    <x v="106"/>
    <x v="0"/>
    <n v="30"/>
  </r>
  <r>
    <x v="107"/>
    <x v="0"/>
    <n v="36"/>
  </r>
  <r>
    <x v="108"/>
    <x v="0"/>
    <n v="57"/>
  </r>
  <r>
    <x v="109"/>
    <x v="0"/>
    <n v="16"/>
  </r>
  <r>
    <x v="110"/>
    <x v="0"/>
    <n v="40"/>
  </r>
  <r>
    <x v="111"/>
    <x v="0"/>
    <n v="42"/>
  </r>
  <r>
    <x v="112"/>
    <x v="0"/>
    <n v="45"/>
  </r>
  <r>
    <x v="113"/>
    <x v="0"/>
    <n v="37"/>
  </r>
  <r>
    <x v="114"/>
    <x v="0"/>
    <n v="31"/>
  </r>
  <r>
    <x v="115"/>
    <x v="0"/>
    <n v="51"/>
  </r>
  <r>
    <x v="116"/>
    <x v="0"/>
    <n v="27"/>
  </r>
  <r>
    <x v="117"/>
    <x v="0"/>
    <n v="33"/>
  </r>
  <r>
    <x v="118"/>
    <x v="0"/>
    <n v="61"/>
  </r>
  <r>
    <x v="119"/>
    <x v="0"/>
    <n v="48"/>
  </r>
  <r>
    <x v="120"/>
    <x v="0"/>
    <n v="26"/>
  </r>
  <r>
    <x v="121"/>
    <x v="0"/>
    <n v="45"/>
  </r>
  <r>
    <x v="122"/>
    <x v="0"/>
    <n v="74"/>
  </r>
  <r>
    <x v="123"/>
    <x v="0"/>
    <n v="72"/>
  </r>
  <r>
    <x v="124"/>
    <x v="0"/>
    <n v="58"/>
  </r>
  <r>
    <x v="125"/>
    <x v="0"/>
    <n v="72"/>
  </r>
  <r>
    <x v="126"/>
    <x v="0"/>
    <n v="57"/>
  </r>
  <r>
    <x v="127"/>
    <x v="0"/>
    <n v="97"/>
  </r>
  <r>
    <x v="128"/>
    <x v="0"/>
    <n v="27"/>
  </r>
  <r>
    <x v="129"/>
    <x v="0"/>
    <n v="62"/>
  </r>
  <r>
    <x v="130"/>
    <x v="0"/>
    <n v="73"/>
  </r>
  <r>
    <x v="131"/>
    <x v="0"/>
    <n v="50"/>
  </r>
  <r>
    <x v="132"/>
    <x v="0"/>
    <n v="45"/>
  </r>
  <r>
    <x v="133"/>
    <x v="0"/>
    <n v="67"/>
  </r>
  <r>
    <x v="134"/>
    <x v="0"/>
    <n v="74"/>
  </r>
  <r>
    <x v="135"/>
    <x v="0"/>
    <n v="82"/>
  </r>
  <r>
    <x v="0"/>
    <x v="1"/>
    <n v="-19"/>
  </r>
  <r>
    <x v="1"/>
    <x v="1"/>
    <n v="-13"/>
  </r>
  <r>
    <x v="2"/>
    <x v="1"/>
    <n v="10"/>
  </r>
  <r>
    <x v="3"/>
    <x v="1"/>
    <n v="-41"/>
  </r>
  <r>
    <x v="4"/>
    <x v="1"/>
    <n v="-11"/>
  </r>
  <r>
    <x v="5"/>
    <x v="1"/>
    <n v="-29"/>
  </r>
  <r>
    <x v="6"/>
    <x v="1"/>
    <n v="-45"/>
  </r>
  <r>
    <x v="7"/>
    <x v="1"/>
    <n v="-47"/>
  </r>
  <r>
    <x v="8"/>
    <x v="1"/>
    <n v="-42"/>
  </r>
  <r>
    <x v="9"/>
    <x v="1"/>
    <n v="15"/>
  </r>
  <r>
    <x v="10"/>
    <x v="1"/>
    <n v="-48"/>
  </r>
  <r>
    <x v="11"/>
    <x v="1"/>
    <n v="-48"/>
  </r>
  <r>
    <x v="12"/>
    <x v="1"/>
    <n v="-14"/>
  </r>
  <r>
    <x v="13"/>
    <x v="1"/>
    <n v="-50"/>
  </r>
  <r>
    <x v="14"/>
    <x v="1"/>
    <n v="-31"/>
  </r>
  <r>
    <x v="15"/>
    <x v="1"/>
    <n v="-42"/>
  </r>
  <r>
    <x v="16"/>
    <x v="1"/>
    <n v="-15"/>
  </r>
  <r>
    <x v="17"/>
    <x v="1"/>
    <n v="-19"/>
  </r>
  <r>
    <x v="18"/>
    <x v="1"/>
    <n v="-33"/>
  </r>
  <r>
    <x v="19"/>
    <x v="1"/>
    <n v="-39"/>
  </r>
  <r>
    <x v="20"/>
    <x v="1"/>
    <n v="-6"/>
  </r>
  <r>
    <x v="21"/>
    <x v="1"/>
    <n v="-4"/>
  </r>
  <r>
    <x v="22"/>
    <x v="1"/>
    <n v="-2"/>
  </r>
  <r>
    <x v="23"/>
    <x v="1"/>
    <n v="-5"/>
  </r>
  <r>
    <x v="24"/>
    <x v="1"/>
    <n v="-54"/>
  </r>
  <r>
    <x v="25"/>
    <x v="1"/>
    <n v="-58"/>
  </r>
  <r>
    <x v="26"/>
    <x v="1"/>
    <n v="-32"/>
  </r>
  <r>
    <x v="27"/>
    <x v="1"/>
    <n v="-50"/>
  </r>
  <r>
    <x v="28"/>
    <x v="1"/>
    <n v="-35"/>
  </r>
  <r>
    <x v="29"/>
    <x v="1"/>
    <n v="-46"/>
  </r>
  <r>
    <x v="30"/>
    <x v="1"/>
    <n v="-43"/>
  </r>
  <r>
    <x v="31"/>
    <x v="1"/>
    <n v="-60"/>
  </r>
  <r>
    <x v="32"/>
    <x v="1"/>
    <n v="-14"/>
  </r>
  <r>
    <x v="33"/>
    <x v="1"/>
    <n v="-43"/>
  </r>
  <r>
    <x v="34"/>
    <x v="1"/>
    <n v="-13"/>
  </r>
  <r>
    <x v="35"/>
    <x v="1"/>
    <n v="-1"/>
  </r>
  <r>
    <x v="36"/>
    <x v="1"/>
    <n v="-21"/>
  </r>
  <r>
    <x v="37"/>
    <x v="1"/>
    <n v="-55"/>
  </r>
  <r>
    <x v="38"/>
    <x v="1"/>
    <n v="-31"/>
  </r>
  <r>
    <x v="39"/>
    <x v="1"/>
    <n v="-20"/>
  </r>
  <r>
    <x v="40"/>
    <x v="1"/>
    <n v="-22"/>
  </r>
  <r>
    <x v="41"/>
    <x v="1"/>
    <n v="-20"/>
  </r>
  <r>
    <x v="42"/>
    <x v="1"/>
    <n v="-40"/>
  </r>
  <r>
    <x v="43"/>
    <x v="1"/>
    <n v="-35"/>
  </r>
  <r>
    <x v="44"/>
    <x v="1"/>
    <n v="-25"/>
  </r>
  <r>
    <x v="45"/>
    <x v="1"/>
    <n v="-32"/>
  </r>
  <r>
    <x v="46"/>
    <x v="1"/>
    <n v="8"/>
  </r>
  <r>
    <x v="47"/>
    <x v="1"/>
    <n v="-19"/>
  </r>
  <r>
    <x v="48"/>
    <x v="1"/>
    <n v="-10"/>
  </r>
  <r>
    <x v="49"/>
    <x v="1"/>
    <n v="-57"/>
  </r>
  <r>
    <x v="50"/>
    <x v="1"/>
    <n v="-23"/>
  </r>
  <r>
    <x v="51"/>
    <x v="1"/>
    <n v="-20"/>
  </r>
  <r>
    <x v="52"/>
    <x v="1"/>
    <n v="-17"/>
  </r>
  <r>
    <x v="53"/>
    <x v="1"/>
    <n v="-30"/>
  </r>
  <r>
    <x v="54"/>
    <x v="1"/>
    <n v="-3"/>
  </r>
  <r>
    <x v="55"/>
    <x v="1"/>
    <n v="12"/>
  </r>
  <r>
    <x v="56"/>
    <x v="1"/>
    <n v="-39"/>
  </r>
  <r>
    <x v="57"/>
    <x v="1"/>
    <n v="7"/>
  </r>
  <r>
    <x v="58"/>
    <x v="1"/>
    <n v="-2"/>
  </r>
  <r>
    <x v="59"/>
    <x v="1"/>
    <n v="-11"/>
  </r>
  <r>
    <x v="60"/>
    <x v="1"/>
    <n v="6"/>
  </r>
  <r>
    <x v="61"/>
    <x v="1"/>
    <n v="23"/>
  </r>
  <r>
    <x v="62"/>
    <x v="1"/>
    <n v="7"/>
  </r>
  <r>
    <x v="63"/>
    <x v="1"/>
    <n v="23"/>
  </r>
  <r>
    <x v="64"/>
    <x v="1"/>
    <n v="32"/>
  </r>
  <r>
    <x v="65"/>
    <x v="1"/>
    <n v="5"/>
  </r>
  <r>
    <x v="66"/>
    <x v="1"/>
    <n v="6"/>
  </r>
  <r>
    <x v="67"/>
    <x v="1"/>
    <n v="-4"/>
  </r>
  <r>
    <x v="68"/>
    <x v="1"/>
    <n v="-12"/>
  </r>
  <r>
    <x v="69"/>
    <x v="1"/>
    <n v="-16"/>
  </r>
  <r>
    <x v="70"/>
    <x v="1"/>
    <n v="-27"/>
  </r>
  <r>
    <x v="71"/>
    <x v="1"/>
    <n v="-43"/>
  </r>
  <r>
    <x v="72"/>
    <x v="1"/>
    <n v="13"/>
  </r>
  <r>
    <x v="73"/>
    <x v="1"/>
    <n v="16"/>
  </r>
  <r>
    <x v="74"/>
    <x v="1"/>
    <n v="-10"/>
  </r>
  <r>
    <x v="75"/>
    <x v="1"/>
    <n v="-21"/>
  </r>
  <r>
    <x v="76"/>
    <x v="1"/>
    <n v="-25"/>
  </r>
  <r>
    <x v="77"/>
    <x v="1"/>
    <n v="-6"/>
  </r>
  <r>
    <x v="78"/>
    <x v="1"/>
    <n v="23"/>
  </r>
  <r>
    <x v="79"/>
    <x v="1"/>
    <n v="9"/>
  </r>
  <r>
    <x v="80"/>
    <x v="1"/>
    <n v="13"/>
  </r>
  <r>
    <x v="81"/>
    <x v="1"/>
    <n v="19"/>
  </r>
  <r>
    <x v="82"/>
    <x v="1"/>
    <n v="15"/>
  </r>
  <r>
    <x v="83"/>
    <x v="1"/>
    <n v="18"/>
  </r>
  <r>
    <x v="84"/>
    <x v="1"/>
    <n v="-11"/>
  </r>
  <r>
    <x v="85"/>
    <x v="1"/>
    <n v="-17"/>
  </r>
  <r>
    <x v="86"/>
    <x v="1"/>
    <n v="-1"/>
  </r>
  <r>
    <x v="87"/>
    <x v="1"/>
    <n v="-19"/>
  </r>
  <r>
    <x v="88"/>
    <x v="1"/>
    <n v="-14"/>
  </r>
  <r>
    <x v="89"/>
    <x v="1"/>
    <n v="-14"/>
  </r>
  <r>
    <x v="90"/>
    <x v="1"/>
    <n v="23"/>
  </r>
  <r>
    <x v="91"/>
    <x v="1"/>
    <n v="-21"/>
  </r>
  <r>
    <x v="92"/>
    <x v="1"/>
    <n v="-17"/>
  </r>
  <r>
    <x v="93"/>
    <x v="1"/>
    <n v="31"/>
  </r>
  <r>
    <x v="94"/>
    <x v="1"/>
    <n v="-28"/>
  </r>
  <r>
    <x v="95"/>
    <x v="1"/>
    <n v="7"/>
  </r>
  <r>
    <x v="96"/>
    <x v="1"/>
    <n v="-6"/>
  </r>
  <r>
    <x v="97"/>
    <x v="1"/>
    <n v="21"/>
  </r>
  <r>
    <x v="98"/>
    <x v="1"/>
    <n v="12"/>
  </r>
  <r>
    <x v="99"/>
    <x v="1"/>
    <n v="-7"/>
  </r>
  <r>
    <x v="100"/>
    <x v="1"/>
    <n v="42"/>
  </r>
  <r>
    <x v="101"/>
    <x v="1"/>
    <n v="41"/>
  </r>
  <r>
    <x v="102"/>
    <x v="1"/>
    <n v="16"/>
  </r>
  <r>
    <x v="103"/>
    <x v="1"/>
    <n v="41"/>
  </r>
  <r>
    <x v="104"/>
    <x v="1"/>
    <n v="18"/>
  </r>
  <r>
    <x v="105"/>
    <x v="1"/>
    <n v="-5"/>
  </r>
  <r>
    <x v="106"/>
    <x v="1"/>
    <n v="38"/>
  </r>
  <r>
    <x v="107"/>
    <x v="1"/>
    <n v="46"/>
  </r>
  <r>
    <x v="108"/>
    <x v="1"/>
    <n v="42"/>
  </r>
  <r>
    <x v="109"/>
    <x v="1"/>
    <n v="35"/>
  </r>
  <r>
    <x v="110"/>
    <x v="1"/>
    <n v="41"/>
  </r>
  <r>
    <x v="111"/>
    <x v="1"/>
    <n v="50"/>
  </r>
  <r>
    <x v="112"/>
    <x v="1"/>
    <n v="42"/>
  </r>
  <r>
    <x v="113"/>
    <x v="1"/>
    <n v="39"/>
  </r>
  <r>
    <x v="114"/>
    <x v="1"/>
    <n v="3"/>
  </r>
  <r>
    <x v="115"/>
    <x v="1"/>
    <n v="78"/>
  </r>
  <r>
    <x v="116"/>
    <x v="1"/>
    <n v="49"/>
  </r>
  <r>
    <x v="117"/>
    <x v="1"/>
    <n v="37"/>
  </r>
  <r>
    <x v="118"/>
    <x v="1"/>
    <n v="89"/>
  </r>
  <r>
    <x v="119"/>
    <x v="1"/>
    <n v="67"/>
  </r>
  <r>
    <x v="120"/>
    <x v="1"/>
    <n v="59"/>
  </r>
  <r>
    <x v="121"/>
    <x v="1"/>
    <n v="47"/>
  </r>
  <r>
    <x v="122"/>
    <x v="1"/>
    <n v="76"/>
  </r>
  <r>
    <x v="123"/>
    <x v="1"/>
    <n v="55"/>
  </r>
  <r>
    <x v="124"/>
    <x v="1"/>
    <n v="70"/>
  </r>
  <r>
    <x v="125"/>
    <x v="1"/>
    <n v="59"/>
  </r>
  <r>
    <x v="126"/>
    <x v="1"/>
    <n v="71"/>
  </r>
  <r>
    <x v="127"/>
    <x v="1"/>
    <n v="70"/>
  </r>
  <r>
    <x v="128"/>
    <x v="1"/>
    <n v="36"/>
  </r>
  <r>
    <x v="129"/>
    <x v="1"/>
    <n v="54"/>
  </r>
  <r>
    <x v="130"/>
    <x v="1"/>
    <n v="79"/>
  </r>
  <r>
    <x v="131"/>
    <x v="1"/>
    <n v="51"/>
  </r>
  <r>
    <x v="132"/>
    <x v="1"/>
    <n v="49"/>
  </r>
  <r>
    <x v="133"/>
    <x v="1"/>
    <n v="57"/>
  </r>
  <r>
    <x v="134"/>
    <x v="1"/>
    <n v="50"/>
  </r>
  <r>
    <x v="135"/>
    <x v="1"/>
    <n v="88"/>
  </r>
  <r>
    <x v="0"/>
    <x v="2"/>
    <n v="-17"/>
  </r>
  <r>
    <x v="1"/>
    <x v="2"/>
    <n v="2"/>
  </r>
  <r>
    <x v="2"/>
    <x v="2"/>
    <n v="2"/>
  </r>
  <r>
    <x v="3"/>
    <x v="2"/>
    <n v="-17"/>
  </r>
  <r>
    <x v="4"/>
    <x v="2"/>
    <n v="-33"/>
  </r>
  <r>
    <x v="5"/>
    <x v="2"/>
    <n v="-23"/>
  </r>
  <r>
    <x v="6"/>
    <x v="2"/>
    <n v="-41"/>
  </r>
  <r>
    <x v="7"/>
    <x v="2"/>
    <n v="-31"/>
  </r>
  <r>
    <x v="8"/>
    <x v="2"/>
    <n v="-47"/>
  </r>
  <r>
    <x v="9"/>
    <x v="2"/>
    <n v="4"/>
  </r>
  <r>
    <x v="10"/>
    <x v="2"/>
    <n v="-41"/>
  </r>
  <r>
    <x v="11"/>
    <x v="2"/>
    <n v="-14"/>
  </r>
  <r>
    <x v="12"/>
    <x v="2"/>
    <n v="-35"/>
  </r>
  <r>
    <x v="13"/>
    <x v="2"/>
    <n v="-23"/>
  </r>
  <r>
    <x v="14"/>
    <x v="2"/>
    <n v="-21"/>
  </r>
  <r>
    <x v="15"/>
    <x v="2"/>
    <n v="-29"/>
  </r>
  <r>
    <x v="16"/>
    <x v="2"/>
    <n v="-29"/>
  </r>
  <r>
    <x v="17"/>
    <x v="2"/>
    <n v="-13"/>
  </r>
  <r>
    <x v="18"/>
    <x v="2"/>
    <n v="-56"/>
  </r>
  <r>
    <x v="19"/>
    <x v="2"/>
    <n v="-35"/>
  </r>
  <r>
    <x v="20"/>
    <x v="2"/>
    <n v="2"/>
  </r>
  <r>
    <x v="21"/>
    <x v="2"/>
    <n v="6"/>
  </r>
  <r>
    <x v="22"/>
    <x v="2"/>
    <n v="-28"/>
  </r>
  <r>
    <x v="23"/>
    <x v="2"/>
    <n v="-22"/>
  </r>
  <r>
    <x v="24"/>
    <x v="2"/>
    <n v="-45"/>
  </r>
  <r>
    <x v="25"/>
    <x v="2"/>
    <n v="-24"/>
  </r>
  <r>
    <x v="26"/>
    <x v="2"/>
    <n v="-14"/>
  </r>
  <r>
    <x v="27"/>
    <x v="2"/>
    <n v="-24"/>
  </r>
  <r>
    <x v="28"/>
    <x v="2"/>
    <n v="-57"/>
  </r>
  <r>
    <x v="29"/>
    <x v="2"/>
    <n v="-51"/>
  </r>
  <r>
    <x v="30"/>
    <x v="2"/>
    <n v="-47"/>
  </r>
  <r>
    <x v="31"/>
    <x v="2"/>
    <n v="-63"/>
  </r>
  <r>
    <x v="32"/>
    <x v="2"/>
    <n v="-37"/>
  </r>
  <r>
    <x v="33"/>
    <x v="2"/>
    <n v="-43"/>
  </r>
  <r>
    <x v="34"/>
    <x v="2"/>
    <n v="-22"/>
  </r>
  <r>
    <x v="35"/>
    <x v="2"/>
    <n v="-9"/>
  </r>
  <r>
    <x v="36"/>
    <x v="2"/>
    <n v="-29"/>
  </r>
  <r>
    <x v="37"/>
    <x v="2"/>
    <n v="-48"/>
  </r>
  <r>
    <x v="38"/>
    <x v="2"/>
    <n v="-20"/>
  </r>
  <r>
    <x v="39"/>
    <x v="2"/>
    <n v="-25"/>
  </r>
  <r>
    <x v="40"/>
    <x v="2"/>
    <n v="-6"/>
  </r>
  <r>
    <x v="41"/>
    <x v="2"/>
    <n v="-26"/>
  </r>
  <r>
    <x v="42"/>
    <x v="2"/>
    <n v="-12"/>
  </r>
  <r>
    <x v="43"/>
    <x v="2"/>
    <n v="-29"/>
  </r>
  <r>
    <x v="44"/>
    <x v="2"/>
    <n v="-11"/>
  </r>
  <r>
    <x v="45"/>
    <x v="2"/>
    <n v="-21"/>
  </r>
  <r>
    <x v="46"/>
    <x v="2"/>
    <n v="13"/>
  </r>
  <r>
    <x v="47"/>
    <x v="2"/>
    <n v="-37"/>
  </r>
  <r>
    <x v="48"/>
    <x v="2"/>
    <n v="-27"/>
  </r>
  <r>
    <x v="49"/>
    <x v="2"/>
    <n v="-34"/>
  </r>
  <r>
    <x v="50"/>
    <x v="2"/>
    <n v="-9"/>
  </r>
  <r>
    <x v="51"/>
    <x v="2"/>
    <n v="-6"/>
  </r>
  <r>
    <x v="52"/>
    <x v="2"/>
    <n v="-19"/>
  </r>
  <r>
    <x v="53"/>
    <x v="2"/>
    <n v="-27"/>
  </r>
  <r>
    <x v="54"/>
    <x v="2"/>
    <n v="-28"/>
  </r>
  <r>
    <x v="55"/>
    <x v="2"/>
    <n v="-13"/>
  </r>
  <r>
    <x v="56"/>
    <x v="2"/>
    <n v="-24"/>
  </r>
  <r>
    <x v="57"/>
    <x v="2"/>
    <n v="-16"/>
  </r>
  <r>
    <x v="58"/>
    <x v="2"/>
    <n v="6"/>
  </r>
  <r>
    <x v="59"/>
    <x v="2"/>
    <n v="-19"/>
  </r>
  <r>
    <x v="60"/>
    <x v="2"/>
    <n v="12"/>
  </r>
  <r>
    <x v="61"/>
    <x v="2"/>
    <n v="6"/>
  </r>
  <r>
    <x v="62"/>
    <x v="2"/>
    <n v="12"/>
  </r>
  <r>
    <x v="63"/>
    <x v="2"/>
    <n v="3"/>
  </r>
  <r>
    <x v="64"/>
    <x v="2"/>
    <n v="35"/>
  </r>
  <r>
    <x v="65"/>
    <x v="2"/>
    <n v="11"/>
  </r>
  <r>
    <x v="66"/>
    <x v="2"/>
    <n v="0"/>
  </r>
  <r>
    <x v="67"/>
    <x v="2"/>
    <n v="7"/>
  </r>
  <r>
    <x v="68"/>
    <x v="2"/>
    <n v="-23"/>
  </r>
  <r>
    <x v="69"/>
    <x v="2"/>
    <n v="-1"/>
  </r>
  <r>
    <x v="70"/>
    <x v="2"/>
    <n v="-8"/>
  </r>
  <r>
    <x v="71"/>
    <x v="2"/>
    <n v="-19"/>
  </r>
  <r>
    <x v="72"/>
    <x v="2"/>
    <n v="-9"/>
  </r>
  <r>
    <x v="73"/>
    <x v="2"/>
    <n v="11"/>
  </r>
  <r>
    <x v="74"/>
    <x v="2"/>
    <n v="-12"/>
  </r>
  <r>
    <x v="75"/>
    <x v="2"/>
    <n v="-35"/>
  </r>
  <r>
    <x v="76"/>
    <x v="2"/>
    <n v="-22"/>
  </r>
  <r>
    <x v="77"/>
    <x v="2"/>
    <n v="-6"/>
  </r>
  <r>
    <x v="78"/>
    <x v="2"/>
    <n v="9"/>
  </r>
  <r>
    <x v="79"/>
    <x v="2"/>
    <n v="20"/>
  </r>
  <r>
    <x v="80"/>
    <x v="2"/>
    <n v="-36"/>
  </r>
  <r>
    <x v="81"/>
    <x v="2"/>
    <n v="10"/>
  </r>
  <r>
    <x v="82"/>
    <x v="2"/>
    <n v="11"/>
  </r>
  <r>
    <x v="83"/>
    <x v="2"/>
    <n v="-15"/>
  </r>
  <r>
    <x v="84"/>
    <x v="2"/>
    <n v="-24"/>
  </r>
  <r>
    <x v="85"/>
    <x v="2"/>
    <n v="-12"/>
  </r>
  <r>
    <x v="86"/>
    <x v="2"/>
    <n v="4"/>
  </r>
  <r>
    <x v="87"/>
    <x v="2"/>
    <n v="4"/>
  </r>
  <r>
    <x v="88"/>
    <x v="2"/>
    <n v="21"/>
  </r>
  <r>
    <x v="89"/>
    <x v="2"/>
    <n v="1"/>
  </r>
  <r>
    <x v="90"/>
    <x v="2"/>
    <n v="8"/>
  </r>
  <r>
    <x v="91"/>
    <x v="2"/>
    <n v="-19"/>
  </r>
  <r>
    <x v="92"/>
    <x v="2"/>
    <n v="3"/>
  </r>
  <r>
    <x v="93"/>
    <x v="2"/>
    <n v="25"/>
  </r>
  <r>
    <x v="94"/>
    <x v="2"/>
    <n v="-5"/>
  </r>
  <r>
    <x v="95"/>
    <x v="2"/>
    <n v="14"/>
  </r>
  <r>
    <x v="96"/>
    <x v="2"/>
    <n v="-21"/>
  </r>
  <r>
    <x v="97"/>
    <x v="2"/>
    <n v="24"/>
  </r>
  <r>
    <x v="98"/>
    <x v="2"/>
    <n v="21"/>
  </r>
  <r>
    <x v="99"/>
    <x v="2"/>
    <n v="18"/>
  </r>
  <r>
    <x v="100"/>
    <x v="2"/>
    <n v="29"/>
  </r>
  <r>
    <x v="101"/>
    <x v="2"/>
    <n v="49"/>
  </r>
  <r>
    <x v="102"/>
    <x v="2"/>
    <n v="-2"/>
  </r>
  <r>
    <x v="103"/>
    <x v="2"/>
    <n v="42"/>
  </r>
  <r>
    <x v="104"/>
    <x v="2"/>
    <n v="29"/>
  </r>
  <r>
    <x v="105"/>
    <x v="2"/>
    <n v="17"/>
  </r>
  <r>
    <x v="106"/>
    <x v="2"/>
    <n v="29"/>
  </r>
  <r>
    <x v="107"/>
    <x v="2"/>
    <n v="17"/>
  </r>
  <r>
    <x v="108"/>
    <x v="2"/>
    <n v="49"/>
  </r>
  <r>
    <x v="109"/>
    <x v="2"/>
    <n v="36"/>
  </r>
  <r>
    <x v="110"/>
    <x v="2"/>
    <n v="76"/>
  </r>
  <r>
    <x v="111"/>
    <x v="2"/>
    <n v="35"/>
  </r>
  <r>
    <x v="112"/>
    <x v="2"/>
    <n v="47"/>
  </r>
  <r>
    <x v="113"/>
    <x v="2"/>
    <n v="36"/>
  </r>
  <r>
    <x v="114"/>
    <x v="2"/>
    <n v="26"/>
  </r>
  <r>
    <x v="115"/>
    <x v="2"/>
    <n v="45"/>
  </r>
  <r>
    <x v="116"/>
    <x v="2"/>
    <n v="34"/>
  </r>
  <r>
    <x v="117"/>
    <x v="2"/>
    <n v="51"/>
  </r>
  <r>
    <x v="118"/>
    <x v="2"/>
    <n v="62"/>
  </r>
  <r>
    <x v="119"/>
    <x v="2"/>
    <n v="33"/>
  </r>
  <r>
    <x v="120"/>
    <x v="2"/>
    <n v="59"/>
  </r>
  <r>
    <x v="121"/>
    <x v="2"/>
    <n v="58"/>
  </r>
  <r>
    <x v="122"/>
    <x v="2"/>
    <n v="91"/>
  </r>
  <r>
    <x v="123"/>
    <x v="2"/>
    <n v="57"/>
  </r>
  <r>
    <x v="124"/>
    <x v="2"/>
    <n v="66"/>
  </r>
  <r>
    <x v="125"/>
    <x v="2"/>
    <n v="69"/>
  </r>
  <r>
    <x v="126"/>
    <x v="2"/>
    <n v="64"/>
  </r>
  <r>
    <x v="127"/>
    <x v="2"/>
    <n v="70"/>
  </r>
  <r>
    <x v="128"/>
    <x v="2"/>
    <n v="75"/>
  </r>
  <r>
    <x v="129"/>
    <x v="2"/>
    <n v="53"/>
  </r>
  <r>
    <x v="130"/>
    <x v="2"/>
    <n v="92"/>
  </r>
  <r>
    <x v="131"/>
    <x v="2"/>
    <n v="64"/>
  </r>
  <r>
    <x v="132"/>
    <x v="2"/>
    <n v="57"/>
  </r>
  <r>
    <x v="133"/>
    <x v="2"/>
    <n v="65"/>
  </r>
  <r>
    <x v="134"/>
    <x v="2"/>
    <n v="77"/>
  </r>
  <r>
    <x v="135"/>
    <x v="2"/>
    <n v="90"/>
  </r>
  <r>
    <x v="0"/>
    <x v="3"/>
    <n v="-27"/>
  </r>
  <r>
    <x v="1"/>
    <x v="3"/>
    <n v="-2"/>
  </r>
  <r>
    <x v="2"/>
    <x v="3"/>
    <n v="-19"/>
  </r>
  <r>
    <x v="3"/>
    <x v="3"/>
    <n v="-23"/>
  </r>
  <r>
    <x v="4"/>
    <x v="3"/>
    <n v="-35"/>
  </r>
  <r>
    <x v="5"/>
    <x v="3"/>
    <n v="-44"/>
  </r>
  <r>
    <x v="6"/>
    <x v="3"/>
    <n v="-28"/>
  </r>
  <r>
    <x v="7"/>
    <x v="3"/>
    <n v="-37"/>
  </r>
  <r>
    <x v="8"/>
    <x v="3"/>
    <n v="-28"/>
  </r>
  <r>
    <x v="9"/>
    <x v="3"/>
    <n v="5"/>
  </r>
  <r>
    <x v="10"/>
    <x v="3"/>
    <n v="-38"/>
  </r>
  <r>
    <x v="11"/>
    <x v="3"/>
    <n v="-25"/>
  </r>
  <r>
    <x v="12"/>
    <x v="3"/>
    <n v="-34"/>
  </r>
  <r>
    <x v="13"/>
    <x v="3"/>
    <n v="-32"/>
  </r>
  <r>
    <x v="14"/>
    <x v="3"/>
    <n v="-40"/>
  </r>
  <r>
    <x v="15"/>
    <x v="3"/>
    <n v="-22"/>
  </r>
  <r>
    <x v="16"/>
    <x v="3"/>
    <n v="-32"/>
  </r>
  <r>
    <x v="17"/>
    <x v="3"/>
    <n v="-1"/>
  </r>
  <r>
    <x v="18"/>
    <x v="3"/>
    <n v="-34"/>
  </r>
  <r>
    <x v="19"/>
    <x v="3"/>
    <n v="-21"/>
  </r>
  <r>
    <x v="20"/>
    <x v="3"/>
    <n v="-14"/>
  </r>
  <r>
    <x v="21"/>
    <x v="3"/>
    <n v="-5"/>
  </r>
  <r>
    <x v="22"/>
    <x v="3"/>
    <n v="-26"/>
  </r>
  <r>
    <x v="23"/>
    <x v="3"/>
    <n v="-39"/>
  </r>
  <r>
    <x v="24"/>
    <x v="3"/>
    <n v="-50"/>
  </r>
  <r>
    <x v="25"/>
    <x v="3"/>
    <n v="-36"/>
  </r>
  <r>
    <x v="26"/>
    <x v="3"/>
    <n v="-2"/>
  </r>
  <r>
    <x v="27"/>
    <x v="3"/>
    <n v="-40"/>
  </r>
  <r>
    <x v="28"/>
    <x v="3"/>
    <n v="-45"/>
  </r>
  <r>
    <x v="29"/>
    <x v="3"/>
    <n v="-59"/>
  </r>
  <r>
    <x v="30"/>
    <x v="3"/>
    <n v="-38"/>
  </r>
  <r>
    <x v="31"/>
    <x v="3"/>
    <n v="-55"/>
  </r>
  <r>
    <x v="32"/>
    <x v="3"/>
    <n v="-21"/>
  </r>
  <r>
    <x v="33"/>
    <x v="3"/>
    <n v="-36"/>
  </r>
  <r>
    <x v="34"/>
    <x v="3"/>
    <n v="-27"/>
  </r>
  <r>
    <x v="35"/>
    <x v="3"/>
    <n v="8"/>
  </r>
  <r>
    <x v="36"/>
    <x v="3"/>
    <n v="-24"/>
  </r>
  <r>
    <x v="37"/>
    <x v="3"/>
    <n v="-38"/>
  </r>
  <r>
    <x v="38"/>
    <x v="3"/>
    <n v="-38"/>
  </r>
  <r>
    <x v="39"/>
    <x v="3"/>
    <n v="-18"/>
  </r>
  <r>
    <x v="40"/>
    <x v="3"/>
    <n v="-25"/>
  </r>
  <r>
    <x v="41"/>
    <x v="3"/>
    <n v="-34"/>
  </r>
  <r>
    <x v="42"/>
    <x v="3"/>
    <n v="-20"/>
  </r>
  <r>
    <x v="43"/>
    <x v="3"/>
    <n v="-37"/>
  </r>
  <r>
    <x v="44"/>
    <x v="3"/>
    <n v="-33"/>
  </r>
  <r>
    <x v="45"/>
    <x v="3"/>
    <n v="-24"/>
  </r>
  <r>
    <x v="46"/>
    <x v="3"/>
    <n v="-13"/>
  </r>
  <r>
    <x v="47"/>
    <x v="3"/>
    <n v="-31"/>
  </r>
  <r>
    <x v="48"/>
    <x v="3"/>
    <n v="-28"/>
  </r>
  <r>
    <x v="49"/>
    <x v="3"/>
    <n v="-41"/>
  </r>
  <r>
    <x v="50"/>
    <x v="3"/>
    <n v="-24"/>
  </r>
  <r>
    <x v="51"/>
    <x v="3"/>
    <n v="-20"/>
  </r>
  <r>
    <x v="52"/>
    <x v="3"/>
    <n v="-8"/>
  </r>
  <r>
    <x v="53"/>
    <x v="3"/>
    <n v="-23"/>
  </r>
  <r>
    <x v="54"/>
    <x v="3"/>
    <n v="-26"/>
  </r>
  <r>
    <x v="55"/>
    <x v="3"/>
    <n v="-34"/>
  </r>
  <r>
    <x v="56"/>
    <x v="3"/>
    <n v="-19"/>
  </r>
  <r>
    <x v="57"/>
    <x v="3"/>
    <n v="-16"/>
  </r>
  <r>
    <x v="58"/>
    <x v="3"/>
    <n v="5"/>
  </r>
  <r>
    <x v="59"/>
    <x v="3"/>
    <n v="-12"/>
  </r>
  <r>
    <x v="60"/>
    <x v="3"/>
    <n v="16"/>
  </r>
  <r>
    <x v="61"/>
    <x v="3"/>
    <n v="11"/>
  </r>
  <r>
    <x v="62"/>
    <x v="3"/>
    <n v="14"/>
  </r>
  <r>
    <x v="63"/>
    <x v="3"/>
    <n v="15"/>
  </r>
  <r>
    <x v="64"/>
    <x v="3"/>
    <n v="27"/>
  </r>
  <r>
    <x v="65"/>
    <x v="3"/>
    <n v="25"/>
  </r>
  <r>
    <x v="66"/>
    <x v="3"/>
    <n v="12"/>
  </r>
  <r>
    <x v="67"/>
    <x v="3"/>
    <n v="5"/>
  </r>
  <r>
    <x v="68"/>
    <x v="3"/>
    <n v="-9"/>
  </r>
  <r>
    <x v="69"/>
    <x v="3"/>
    <n v="-7"/>
  </r>
  <r>
    <x v="70"/>
    <x v="3"/>
    <n v="-21"/>
  </r>
  <r>
    <x v="71"/>
    <x v="3"/>
    <n v="-11"/>
  </r>
  <r>
    <x v="72"/>
    <x v="3"/>
    <n v="2"/>
  </r>
  <r>
    <x v="73"/>
    <x v="3"/>
    <n v="20"/>
  </r>
  <r>
    <x v="74"/>
    <x v="3"/>
    <n v="-18"/>
  </r>
  <r>
    <x v="75"/>
    <x v="3"/>
    <n v="-22"/>
  </r>
  <r>
    <x v="76"/>
    <x v="3"/>
    <n v="-27"/>
  </r>
  <r>
    <x v="77"/>
    <x v="3"/>
    <n v="-2"/>
  </r>
  <r>
    <x v="78"/>
    <x v="3"/>
    <n v="2"/>
  </r>
  <r>
    <x v="79"/>
    <x v="3"/>
    <n v="17"/>
  </r>
  <r>
    <x v="80"/>
    <x v="3"/>
    <n v="-17"/>
  </r>
  <r>
    <x v="81"/>
    <x v="3"/>
    <n v="15"/>
  </r>
  <r>
    <x v="82"/>
    <x v="3"/>
    <n v="5"/>
  </r>
  <r>
    <x v="83"/>
    <x v="3"/>
    <n v="-5"/>
  </r>
  <r>
    <x v="84"/>
    <x v="3"/>
    <n v="-30"/>
  </r>
  <r>
    <x v="85"/>
    <x v="3"/>
    <n v="-20"/>
  </r>
  <r>
    <x v="86"/>
    <x v="3"/>
    <n v="-14"/>
  </r>
  <r>
    <x v="87"/>
    <x v="3"/>
    <n v="-6"/>
  </r>
  <r>
    <x v="88"/>
    <x v="3"/>
    <n v="-5"/>
  </r>
  <r>
    <x v="89"/>
    <x v="3"/>
    <n v="18"/>
  </r>
  <r>
    <x v="90"/>
    <x v="3"/>
    <n v="9"/>
  </r>
  <r>
    <x v="91"/>
    <x v="3"/>
    <n v="-11"/>
  </r>
  <r>
    <x v="92"/>
    <x v="3"/>
    <n v="-1"/>
  </r>
  <r>
    <x v="93"/>
    <x v="3"/>
    <n v="26"/>
  </r>
  <r>
    <x v="94"/>
    <x v="3"/>
    <n v="-10"/>
  </r>
  <r>
    <x v="95"/>
    <x v="3"/>
    <n v="6"/>
  </r>
  <r>
    <x v="96"/>
    <x v="3"/>
    <n v="-9"/>
  </r>
  <r>
    <x v="97"/>
    <x v="3"/>
    <n v="26"/>
  </r>
  <r>
    <x v="98"/>
    <x v="3"/>
    <n v="14"/>
  </r>
  <r>
    <x v="99"/>
    <x v="3"/>
    <n v="12"/>
  </r>
  <r>
    <x v="100"/>
    <x v="3"/>
    <n v="33"/>
  </r>
  <r>
    <x v="101"/>
    <x v="3"/>
    <n v="32"/>
  </r>
  <r>
    <x v="102"/>
    <x v="3"/>
    <n v="9"/>
  </r>
  <r>
    <x v="103"/>
    <x v="3"/>
    <n v="30"/>
  </r>
  <r>
    <x v="104"/>
    <x v="3"/>
    <n v="10"/>
  </r>
  <r>
    <x v="105"/>
    <x v="3"/>
    <n v="10"/>
  </r>
  <r>
    <x v="106"/>
    <x v="3"/>
    <n v="26"/>
  </r>
  <r>
    <x v="107"/>
    <x v="3"/>
    <n v="26"/>
  </r>
  <r>
    <x v="108"/>
    <x v="3"/>
    <n v="44"/>
  </r>
  <r>
    <x v="109"/>
    <x v="3"/>
    <n v="33"/>
  </r>
  <r>
    <x v="110"/>
    <x v="3"/>
    <n v="54"/>
  </r>
  <r>
    <x v="111"/>
    <x v="3"/>
    <n v="51"/>
  </r>
  <r>
    <x v="112"/>
    <x v="3"/>
    <n v="23"/>
  </r>
  <r>
    <x v="113"/>
    <x v="3"/>
    <n v="27"/>
  </r>
  <r>
    <x v="114"/>
    <x v="3"/>
    <n v="40"/>
  </r>
  <r>
    <x v="115"/>
    <x v="3"/>
    <n v="47"/>
  </r>
  <r>
    <x v="116"/>
    <x v="3"/>
    <n v="36"/>
  </r>
  <r>
    <x v="117"/>
    <x v="3"/>
    <n v="37"/>
  </r>
  <r>
    <x v="118"/>
    <x v="3"/>
    <n v="64"/>
  </r>
  <r>
    <x v="119"/>
    <x v="3"/>
    <n v="34"/>
  </r>
  <r>
    <x v="120"/>
    <x v="3"/>
    <n v="59"/>
  </r>
  <r>
    <x v="121"/>
    <x v="3"/>
    <n v="52"/>
  </r>
  <r>
    <x v="122"/>
    <x v="3"/>
    <n v="59"/>
  </r>
  <r>
    <x v="123"/>
    <x v="3"/>
    <n v="55"/>
  </r>
  <r>
    <x v="124"/>
    <x v="3"/>
    <n v="62"/>
  </r>
  <r>
    <x v="125"/>
    <x v="3"/>
    <n v="70"/>
  </r>
  <r>
    <x v="126"/>
    <x v="3"/>
    <n v="49"/>
  </r>
  <r>
    <x v="127"/>
    <x v="3"/>
    <n v="75"/>
  </r>
  <r>
    <x v="128"/>
    <x v="3"/>
    <n v="53"/>
  </r>
  <r>
    <x v="129"/>
    <x v="3"/>
    <n v="61"/>
  </r>
  <r>
    <x v="130"/>
    <x v="3"/>
    <n v="87"/>
  </r>
  <r>
    <x v="131"/>
    <x v="3"/>
    <n v="66"/>
  </r>
  <r>
    <x v="132"/>
    <x v="3"/>
    <n v="69"/>
  </r>
  <r>
    <x v="133"/>
    <x v="3"/>
    <n v="54"/>
  </r>
  <r>
    <x v="134"/>
    <x v="3"/>
    <n v="78"/>
  </r>
  <r>
    <x v="135"/>
    <x v="3"/>
    <n v="74"/>
  </r>
  <r>
    <x v="0"/>
    <x v="4"/>
    <n v="-13"/>
  </r>
  <r>
    <x v="1"/>
    <x v="4"/>
    <n v="-3"/>
  </r>
  <r>
    <x v="2"/>
    <x v="4"/>
    <n v="-17"/>
  </r>
  <r>
    <x v="3"/>
    <x v="4"/>
    <n v="-24"/>
  </r>
  <r>
    <x v="4"/>
    <x v="4"/>
    <n v="-31"/>
  </r>
  <r>
    <x v="5"/>
    <x v="4"/>
    <n v="-41"/>
  </r>
  <r>
    <x v="6"/>
    <x v="4"/>
    <n v="-27"/>
  </r>
  <r>
    <x v="7"/>
    <x v="4"/>
    <n v="-33"/>
  </r>
  <r>
    <x v="8"/>
    <x v="4"/>
    <n v="-21"/>
  </r>
  <r>
    <x v="9"/>
    <x v="4"/>
    <n v="-3"/>
  </r>
  <r>
    <x v="10"/>
    <x v="4"/>
    <n v="-48"/>
  </r>
  <r>
    <x v="11"/>
    <x v="4"/>
    <n v="-17"/>
  </r>
  <r>
    <x v="12"/>
    <x v="4"/>
    <n v="-24"/>
  </r>
  <r>
    <x v="13"/>
    <x v="4"/>
    <n v="-34"/>
  </r>
  <r>
    <x v="14"/>
    <x v="4"/>
    <n v="-29"/>
  </r>
  <r>
    <x v="15"/>
    <x v="4"/>
    <n v="-23"/>
  </r>
  <r>
    <x v="16"/>
    <x v="4"/>
    <n v="-19"/>
  </r>
  <r>
    <x v="17"/>
    <x v="4"/>
    <n v="0"/>
  </r>
  <r>
    <x v="18"/>
    <x v="4"/>
    <n v="-36"/>
  </r>
  <r>
    <x v="19"/>
    <x v="4"/>
    <n v="-20"/>
  </r>
  <r>
    <x v="20"/>
    <x v="4"/>
    <n v="-4"/>
  </r>
  <r>
    <x v="21"/>
    <x v="4"/>
    <n v="-17"/>
  </r>
  <r>
    <x v="22"/>
    <x v="4"/>
    <n v="-29"/>
  </r>
  <r>
    <x v="23"/>
    <x v="4"/>
    <n v="-41"/>
  </r>
  <r>
    <x v="24"/>
    <x v="4"/>
    <n v="-50"/>
  </r>
  <r>
    <x v="25"/>
    <x v="4"/>
    <n v="-33"/>
  </r>
  <r>
    <x v="26"/>
    <x v="4"/>
    <n v="-20"/>
  </r>
  <r>
    <x v="27"/>
    <x v="4"/>
    <n v="-45"/>
  </r>
  <r>
    <x v="28"/>
    <x v="4"/>
    <n v="-39"/>
  </r>
  <r>
    <x v="29"/>
    <x v="4"/>
    <n v="-54"/>
  </r>
  <r>
    <x v="30"/>
    <x v="4"/>
    <n v="-33"/>
  </r>
  <r>
    <x v="31"/>
    <x v="4"/>
    <n v="-52"/>
  </r>
  <r>
    <x v="32"/>
    <x v="4"/>
    <n v="-20"/>
  </r>
  <r>
    <x v="33"/>
    <x v="4"/>
    <n v="-45"/>
  </r>
  <r>
    <x v="34"/>
    <x v="4"/>
    <n v="-19"/>
  </r>
  <r>
    <x v="35"/>
    <x v="4"/>
    <n v="-1"/>
  </r>
  <r>
    <x v="36"/>
    <x v="4"/>
    <n v="-26"/>
  </r>
  <r>
    <x v="37"/>
    <x v="4"/>
    <n v="-48"/>
  </r>
  <r>
    <x v="38"/>
    <x v="4"/>
    <n v="-36"/>
  </r>
  <r>
    <x v="39"/>
    <x v="4"/>
    <n v="-18"/>
  </r>
  <r>
    <x v="40"/>
    <x v="4"/>
    <n v="-24"/>
  </r>
  <r>
    <x v="41"/>
    <x v="4"/>
    <n v="-34"/>
  </r>
  <r>
    <x v="42"/>
    <x v="4"/>
    <n v="-33"/>
  </r>
  <r>
    <x v="43"/>
    <x v="4"/>
    <n v="-31"/>
  </r>
  <r>
    <x v="44"/>
    <x v="4"/>
    <n v="-17"/>
  </r>
  <r>
    <x v="45"/>
    <x v="4"/>
    <n v="-29"/>
  </r>
  <r>
    <x v="46"/>
    <x v="4"/>
    <n v="-23"/>
  </r>
  <r>
    <x v="47"/>
    <x v="4"/>
    <n v="-24"/>
  </r>
  <r>
    <x v="48"/>
    <x v="4"/>
    <n v="-28"/>
  </r>
  <r>
    <x v="49"/>
    <x v="4"/>
    <n v="-38"/>
  </r>
  <r>
    <x v="50"/>
    <x v="4"/>
    <n v="-24"/>
  </r>
  <r>
    <x v="51"/>
    <x v="4"/>
    <n v="-21"/>
  </r>
  <r>
    <x v="52"/>
    <x v="4"/>
    <n v="-22"/>
  </r>
  <r>
    <x v="53"/>
    <x v="4"/>
    <n v="-25"/>
  </r>
  <r>
    <x v="54"/>
    <x v="4"/>
    <n v="-10"/>
  </r>
  <r>
    <x v="55"/>
    <x v="4"/>
    <n v="-25"/>
  </r>
  <r>
    <x v="56"/>
    <x v="4"/>
    <n v="-15"/>
  </r>
  <r>
    <x v="57"/>
    <x v="4"/>
    <n v="-6"/>
  </r>
  <r>
    <x v="58"/>
    <x v="4"/>
    <n v="-7"/>
  </r>
  <r>
    <x v="59"/>
    <x v="4"/>
    <n v="-7"/>
  </r>
  <r>
    <x v="60"/>
    <x v="4"/>
    <n v="6"/>
  </r>
  <r>
    <x v="61"/>
    <x v="4"/>
    <n v="10"/>
  </r>
  <r>
    <x v="62"/>
    <x v="4"/>
    <n v="15"/>
  </r>
  <r>
    <x v="63"/>
    <x v="4"/>
    <n v="11"/>
  </r>
  <r>
    <x v="64"/>
    <x v="4"/>
    <n v="26"/>
  </r>
  <r>
    <x v="65"/>
    <x v="4"/>
    <n v="11"/>
  </r>
  <r>
    <x v="66"/>
    <x v="4"/>
    <n v="-2"/>
  </r>
  <r>
    <x v="67"/>
    <x v="4"/>
    <n v="-6"/>
  </r>
  <r>
    <x v="68"/>
    <x v="4"/>
    <n v="6"/>
  </r>
  <r>
    <x v="69"/>
    <x v="4"/>
    <n v="-10"/>
  </r>
  <r>
    <x v="70"/>
    <x v="4"/>
    <n v="-12"/>
  </r>
  <r>
    <x v="71"/>
    <x v="4"/>
    <n v="-1"/>
  </r>
  <r>
    <x v="72"/>
    <x v="4"/>
    <n v="-5"/>
  </r>
  <r>
    <x v="73"/>
    <x v="4"/>
    <n v="9"/>
  </r>
  <r>
    <x v="74"/>
    <x v="4"/>
    <n v="-20"/>
  </r>
  <r>
    <x v="75"/>
    <x v="4"/>
    <n v="-20"/>
  </r>
  <r>
    <x v="76"/>
    <x v="4"/>
    <n v="-27"/>
  </r>
  <r>
    <x v="77"/>
    <x v="4"/>
    <n v="7"/>
  </r>
  <r>
    <x v="78"/>
    <x v="4"/>
    <n v="7"/>
  </r>
  <r>
    <x v="79"/>
    <x v="4"/>
    <n v="5"/>
  </r>
  <r>
    <x v="80"/>
    <x v="4"/>
    <n v="-9"/>
  </r>
  <r>
    <x v="81"/>
    <x v="4"/>
    <n v="14"/>
  </r>
  <r>
    <x v="82"/>
    <x v="4"/>
    <n v="-6"/>
  </r>
  <r>
    <x v="83"/>
    <x v="4"/>
    <n v="-10"/>
  </r>
  <r>
    <x v="84"/>
    <x v="4"/>
    <n v="-26"/>
  </r>
  <r>
    <x v="85"/>
    <x v="4"/>
    <n v="-14"/>
  </r>
  <r>
    <x v="86"/>
    <x v="4"/>
    <n v="-9"/>
  </r>
  <r>
    <x v="87"/>
    <x v="4"/>
    <n v="12"/>
  </r>
  <r>
    <x v="88"/>
    <x v="4"/>
    <n v="-10"/>
  </r>
  <r>
    <x v="89"/>
    <x v="4"/>
    <n v="19"/>
  </r>
  <r>
    <x v="90"/>
    <x v="4"/>
    <n v="-5"/>
  </r>
  <r>
    <x v="91"/>
    <x v="4"/>
    <n v="-7"/>
  </r>
  <r>
    <x v="92"/>
    <x v="4"/>
    <n v="-1"/>
  </r>
  <r>
    <x v="93"/>
    <x v="4"/>
    <n v="26"/>
  </r>
  <r>
    <x v="94"/>
    <x v="4"/>
    <n v="0"/>
  </r>
  <r>
    <x v="95"/>
    <x v="4"/>
    <n v="17"/>
  </r>
  <r>
    <x v="96"/>
    <x v="4"/>
    <n v="-23"/>
  </r>
  <r>
    <x v="97"/>
    <x v="4"/>
    <n v="30"/>
  </r>
  <r>
    <x v="98"/>
    <x v="4"/>
    <n v="7"/>
  </r>
  <r>
    <x v="99"/>
    <x v="4"/>
    <n v="6"/>
  </r>
  <r>
    <x v="100"/>
    <x v="4"/>
    <n v="35"/>
  </r>
  <r>
    <x v="101"/>
    <x v="4"/>
    <n v="23"/>
  </r>
  <r>
    <x v="102"/>
    <x v="4"/>
    <n v="15"/>
  </r>
  <r>
    <x v="103"/>
    <x v="4"/>
    <n v="36"/>
  </r>
  <r>
    <x v="104"/>
    <x v="4"/>
    <n v="34"/>
  </r>
  <r>
    <x v="105"/>
    <x v="4"/>
    <n v="18"/>
  </r>
  <r>
    <x v="106"/>
    <x v="4"/>
    <n v="26"/>
  </r>
  <r>
    <x v="107"/>
    <x v="4"/>
    <n v="26"/>
  </r>
  <r>
    <x v="108"/>
    <x v="4"/>
    <n v="44"/>
  </r>
  <r>
    <x v="109"/>
    <x v="4"/>
    <n v="17"/>
  </r>
  <r>
    <x v="110"/>
    <x v="4"/>
    <n v="46"/>
  </r>
  <r>
    <x v="111"/>
    <x v="4"/>
    <n v="39"/>
  </r>
  <r>
    <x v="112"/>
    <x v="4"/>
    <n v="32"/>
  </r>
  <r>
    <x v="113"/>
    <x v="4"/>
    <n v="27"/>
  </r>
  <r>
    <x v="114"/>
    <x v="4"/>
    <n v="29"/>
  </r>
  <r>
    <x v="115"/>
    <x v="4"/>
    <n v="29"/>
  </r>
  <r>
    <x v="116"/>
    <x v="4"/>
    <n v="29"/>
  </r>
  <r>
    <x v="117"/>
    <x v="4"/>
    <n v="38"/>
  </r>
  <r>
    <x v="118"/>
    <x v="4"/>
    <n v="71"/>
  </r>
  <r>
    <x v="119"/>
    <x v="4"/>
    <n v="33"/>
  </r>
  <r>
    <x v="120"/>
    <x v="4"/>
    <n v="40"/>
  </r>
  <r>
    <x v="121"/>
    <x v="4"/>
    <n v="59"/>
  </r>
  <r>
    <x v="122"/>
    <x v="4"/>
    <n v="65"/>
  </r>
  <r>
    <x v="123"/>
    <x v="4"/>
    <n v="63"/>
  </r>
  <r>
    <x v="124"/>
    <x v="4"/>
    <n v="42"/>
  </r>
  <r>
    <x v="125"/>
    <x v="4"/>
    <n v="64"/>
  </r>
  <r>
    <x v="126"/>
    <x v="4"/>
    <n v="47"/>
  </r>
  <r>
    <x v="127"/>
    <x v="4"/>
    <n v="69"/>
  </r>
  <r>
    <x v="128"/>
    <x v="4"/>
    <n v="51"/>
  </r>
  <r>
    <x v="129"/>
    <x v="4"/>
    <n v="64"/>
  </r>
  <r>
    <x v="130"/>
    <x v="4"/>
    <n v="75"/>
  </r>
  <r>
    <x v="131"/>
    <x v="4"/>
    <n v="53"/>
  </r>
  <r>
    <x v="132"/>
    <x v="4"/>
    <n v="76"/>
  </r>
  <r>
    <x v="133"/>
    <x v="4"/>
    <n v="61"/>
  </r>
  <r>
    <x v="134"/>
    <x v="4"/>
    <n v="86"/>
  </r>
  <r>
    <x v="135"/>
    <x v="4"/>
    <n v="76"/>
  </r>
  <r>
    <x v="0"/>
    <x v="5"/>
    <n v="-28"/>
  </r>
  <r>
    <x v="1"/>
    <x v="5"/>
    <n v="-27"/>
  </r>
  <r>
    <x v="2"/>
    <x v="5"/>
    <n v="-24"/>
  </r>
  <r>
    <x v="3"/>
    <x v="5"/>
    <n v="-11"/>
  </r>
  <r>
    <x v="4"/>
    <x v="5"/>
    <n v="-37"/>
  </r>
  <r>
    <x v="5"/>
    <x v="5"/>
    <n v="-50"/>
  </r>
  <r>
    <x v="6"/>
    <x v="5"/>
    <n v="-39"/>
  </r>
  <r>
    <x v="7"/>
    <x v="5"/>
    <n v="-20"/>
  </r>
  <r>
    <x v="8"/>
    <x v="5"/>
    <n v="-20"/>
  </r>
  <r>
    <x v="9"/>
    <x v="5"/>
    <n v="-11"/>
  </r>
  <r>
    <x v="10"/>
    <x v="5"/>
    <n v="-27"/>
  </r>
  <r>
    <x v="11"/>
    <x v="5"/>
    <n v="-21"/>
  </r>
  <r>
    <x v="12"/>
    <x v="5"/>
    <n v="-18"/>
  </r>
  <r>
    <x v="13"/>
    <x v="5"/>
    <n v="-22"/>
  </r>
  <r>
    <x v="14"/>
    <x v="5"/>
    <n v="-43"/>
  </r>
  <r>
    <x v="15"/>
    <x v="5"/>
    <n v="-24"/>
  </r>
  <r>
    <x v="16"/>
    <x v="5"/>
    <n v="-13"/>
  </r>
  <r>
    <x v="17"/>
    <x v="5"/>
    <n v="-13"/>
  </r>
  <r>
    <x v="18"/>
    <x v="5"/>
    <n v="-21"/>
  </r>
  <r>
    <x v="19"/>
    <x v="5"/>
    <n v="-26"/>
  </r>
  <r>
    <x v="20"/>
    <x v="5"/>
    <n v="-13"/>
  </r>
  <r>
    <x v="21"/>
    <x v="5"/>
    <n v="-9"/>
  </r>
  <r>
    <x v="22"/>
    <x v="5"/>
    <n v="-33"/>
  </r>
  <r>
    <x v="23"/>
    <x v="5"/>
    <n v="-43"/>
  </r>
  <r>
    <x v="24"/>
    <x v="5"/>
    <n v="-49"/>
  </r>
  <r>
    <x v="25"/>
    <x v="5"/>
    <n v="-30"/>
  </r>
  <r>
    <x v="26"/>
    <x v="5"/>
    <n v="-20"/>
  </r>
  <r>
    <x v="27"/>
    <x v="5"/>
    <n v="-42"/>
  </r>
  <r>
    <x v="28"/>
    <x v="5"/>
    <n v="-37"/>
  </r>
  <r>
    <x v="29"/>
    <x v="5"/>
    <n v="-52"/>
  </r>
  <r>
    <x v="30"/>
    <x v="5"/>
    <n v="-36"/>
  </r>
  <r>
    <x v="31"/>
    <x v="5"/>
    <n v="-47"/>
  </r>
  <r>
    <x v="32"/>
    <x v="5"/>
    <n v="-26"/>
  </r>
  <r>
    <x v="33"/>
    <x v="5"/>
    <n v="-45"/>
  </r>
  <r>
    <x v="34"/>
    <x v="5"/>
    <n v="-21"/>
  </r>
  <r>
    <x v="35"/>
    <x v="5"/>
    <n v="-14"/>
  </r>
  <r>
    <x v="36"/>
    <x v="5"/>
    <n v="-41"/>
  </r>
  <r>
    <x v="37"/>
    <x v="5"/>
    <n v="-39"/>
  </r>
  <r>
    <x v="38"/>
    <x v="5"/>
    <n v="-27"/>
  </r>
  <r>
    <x v="39"/>
    <x v="5"/>
    <n v="-26"/>
  </r>
  <r>
    <x v="40"/>
    <x v="5"/>
    <n v="-31"/>
  </r>
  <r>
    <x v="41"/>
    <x v="5"/>
    <n v="-29"/>
  </r>
  <r>
    <x v="42"/>
    <x v="5"/>
    <n v="-31"/>
  </r>
  <r>
    <x v="43"/>
    <x v="5"/>
    <n v="-22"/>
  </r>
  <r>
    <x v="44"/>
    <x v="5"/>
    <n v="-26"/>
  </r>
  <r>
    <x v="45"/>
    <x v="5"/>
    <n v="-32"/>
  </r>
  <r>
    <x v="46"/>
    <x v="5"/>
    <n v="-24"/>
  </r>
  <r>
    <x v="47"/>
    <x v="5"/>
    <n v="-26"/>
  </r>
  <r>
    <x v="48"/>
    <x v="5"/>
    <n v="-40"/>
  </r>
  <r>
    <x v="49"/>
    <x v="5"/>
    <n v="-42"/>
  </r>
  <r>
    <x v="50"/>
    <x v="5"/>
    <n v="-17"/>
  </r>
  <r>
    <x v="51"/>
    <x v="5"/>
    <n v="-5"/>
  </r>
  <r>
    <x v="52"/>
    <x v="5"/>
    <n v="-29"/>
  </r>
  <r>
    <x v="53"/>
    <x v="5"/>
    <n v="-31"/>
  </r>
  <r>
    <x v="54"/>
    <x v="5"/>
    <n v="-13"/>
  </r>
  <r>
    <x v="55"/>
    <x v="5"/>
    <n v="-22"/>
  </r>
  <r>
    <x v="56"/>
    <x v="5"/>
    <n v="-18"/>
  </r>
  <r>
    <x v="57"/>
    <x v="5"/>
    <n v="-7"/>
  </r>
  <r>
    <x v="58"/>
    <x v="5"/>
    <n v="-17"/>
  </r>
  <r>
    <x v="59"/>
    <x v="5"/>
    <n v="-8"/>
  </r>
  <r>
    <x v="60"/>
    <x v="5"/>
    <n v="6"/>
  </r>
  <r>
    <x v="61"/>
    <x v="5"/>
    <n v="4"/>
  </r>
  <r>
    <x v="62"/>
    <x v="5"/>
    <n v="12"/>
  </r>
  <r>
    <x v="63"/>
    <x v="5"/>
    <n v="1"/>
  </r>
  <r>
    <x v="64"/>
    <x v="5"/>
    <n v="21"/>
  </r>
  <r>
    <x v="65"/>
    <x v="5"/>
    <n v="3"/>
  </r>
  <r>
    <x v="66"/>
    <x v="5"/>
    <n v="-15"/>
  </r>
  <r>
    <x v="67"/>
    <x v="5"/>
    <n v="-2"/>
  </r>
  <r>
    <x v="68"/>
    <x v="5"/>
    <n v="-5"/>
  </r>
  <r>
    <x v="69"/>
    <x v="5"/>
    <n v="-25"/>
  </r>
  <r>
    <x v="70"/>
    <x v="5"/>
    <n v="-8"/>
  </r>
  <r>
    <x v="71"/>
    <x v="5"/>
    <n v="-7"/>
  </r>
  <r>
    <x v="72"/>
    <x v="5"/>
    <n v="-4"/>
  </r>
  <r>
    <x v="73"/>
    <x v="5"/>
    <n v="8"/>
  </r>
  <r>
    <x v="74"/>
    <x v="5"/>
    <n v="-15"/>
  </r>
  <r>
    <x v="75"/>
    <x v="5"/>
    <n v="-7"/>
  </r>
  <r>
    <x v="76"/>
    <x v="5"/>
    <n v="-15"/>
  </r>
  <r>
    <x v="77"/>
    <x v="5"/>
    <n v="14"/>
  </r>
  <r>
    <x v="78"/>
    <x v="5"/>
    <n v="-6"/>
  </r>
  <r>
    <x v="79"/>
    <x v="5"/>
    <n v="3"/>
  </r>
  <r>
    <x v="80"/>
    <x v="5"/>
    <n v="0"/>
  </r>
  <r>
    <x v="81"/>
    <x v="5"/>
    <n v="11"/>
  </r>
  <r>
    <x v="82"/>
    <x v="5"/>
    <n v="5"/>
  </r>
  <r>
    <x v="83"/>
    <x v="5"/>
    <n v="3"/>
  </r>
  <r>
    <x v="84"/>
    <x v="5"/>
    <n v="-9"/>
  </r>
  <r>
    <x v="85"/>
    <x v="5"/>
    <n v="-10"/>
  </r>
  <r>
    <x v="86"/>
    <x v="5"/>
    <n v="3"/>
  </r>
  <r>
    <x v="87"/>
    <x v="5"/>
    <n v="-8"/>
  </r>
  <r>
    <x v="88"/>
    <x v="5"/>
    <n v="-5"/>
  </r>
  <r>
    <x v="89"/>
    <x v="5"/>
    <n v="4"/>
  </r>
  <r>
    <x v="90"/>
    <x v="5"/>
    <n v="-1"/>
  </r>
  <r>
    <x v="91"/>
    <x v="5"/>
    <n v="-18"/>
  </r>
  <r>
    <x v="92"/>
    <x v="5"/>
    <n v="4"/>
  </r>
  <r>
    <x v="93"/>
    <x v="5"/>
    <n v="16"/>
  </r>
  <r>
    <x v="94"/>
    <x v="5"/>
    <n v="-5"/>
  </r>
  <r>
    <x v="95"/>
    <x v="5"/>
    <n v="0"/>
  </r>
  <r>
    <x v="96"/>
    <x v="5"/>
    <n v="-15"/>
  </r>
  <r>
    <x v="97"/>
    <x v="5"/>
    <n v="25"/>
  </r>
  <r>
    <x v="98"/>
    <x v="5"/>
    <n v="-2"/>
  </r>
  <r>
    <x v="99"/>
    <x v="5"/>
    <n v="14"/>
  </r>
  <r>
    <x v="100"/>
    <x v="5"/>
    <n v="18"/>
  </r>
  <r>
    <x v="101"/>
    <x v="5"/>
    <n v="31"/>
  </r>
  <r>
    <x v="102"/>
    <x v="5"/>
    <n v="4"/>
  </r>
  <r>
    <x v="103"/>
    <x v="5"/>
    <n v="19"/>
  </r>
  <r>
    <x v="104"/>
    <x v="5"/>
    <n v="6"/>
  </r>
  <r>
    <x v="105"/>
    <x v="5"/>
    <n v="17"/>
  </r>
  <r>
    <x v="106"/>
    <x v="5"/>
    <n v="14"/>
  </r>
  <r>
    <x v="107"/>
    <x v="5"/>
    <n v="36"/>
  </r>
  <r>
    <x v="108"/>
    <x v="5"/>
    <n v="42"/>
  </r>
  <r>
    <x v="109"/>
    <x v="5"/>
    <n v="15"/>
  </r>
  <r>
    <x v="110"/>
    <x v="5"/>
    <n v="38"/>
  </r>
  <r>
    <x v="111"/>
    <x v="5"/>
    <n v="54"/>
  </r>
  <r>
    <x v="112"/>
    <x v="5"/>
    <n v="24"/>
  </r>
  <r>
    <x v="113"/>
    <x v="5"/>
    <n v="23"/>
  </r>
  <r>
    <x v="114"/>
    <x v="5"/>
    <n v="41"/>
  </r>
  <r>
    <x v="115"/>
    <x v="5"/>
    <n v="44"/>
  </r>
  <r>
    <x v="116"/>
    <x v="5"/>
    <n v="26"/>
  </r>
  <r>
    <x v="117"/>
    <x v="5"/>
    <n v="54"/>
  </r>
  <r>
    <x v="118"/>
    <x v="5"/>
    <n v="77"/>
  </r>
  <r>
    <x v="119"/>
    <x v="5"/>
    <n v="37"/>
  </r>
  <r>
    <x v="120"/>
    <x v="5"/>
    <n v="43"/>
  </r>
  <r>
    <x v="121"/>
    <x v="5"/>
    <n v="54"/>
  </r>
  <r>
    <x v="122"/>
    <x v="5"/>
    <n v="55"/>
  </r>
  <r>
    <x v="123"/>
    <x v="5"/>
    <n v="48"/>
  </r>
  <r>
    <x v="124"/>
    <x v="5"/>
    <n v="42"/>
  </r>
  <r>
    <x v="125"/>
    <x v="5"/>
    <n v="66"/>
  </r>
  <r>
    <x v="126"/>
    <x v="5"/>
    <n v="64"/>
  </r>
  <r>
    <x v="127"/>
    <x v="5"/>
    <n v="59"/>
  </r>
  <r>
    <x v="128"/>
    <x v="5"/>
    <n v="48"/>
  </r>
  <r>
    <x v="129"/>
    <x v="5"/>
    <n v="67"/>
  </r>
  <r>
    <x v="130"/>
    <x v="5"/>
    <n v="64"/>
  </r>
  <r>
    <x v="131"/>
    <x v="5"/>
    <n v="59"/>
  </r>
  <r>
    <x v="132"/>
    <x v="5"/>
    <n v="62"/>
  </r>
  <r>
    <x v="133"/>
    <x v="5"/>
    <n v="65"/>
  </r>
  <r>
    <x v="134"/>
    <x v="5"/>
    <n v="66"/>
  </r>
  <r>
    <x v="135"/>
    <x v="5"/>
    <n v="80"/>
  </r>
  <r>
    <x v="0"/>
    <x v="6"/>
    <n v="-22"/>
  </r>
  <r>
    <x v="1"/>
    <x v="6"/>
    <n v="-5"/>
  </r>
  <r>
    <x v="2"/>
    <x v="6"/>
    <n v="-9"/>
  </r>
  <r>
    <x v="3"/>
    <x v="6"/>
    <n v="-7"/>
  </r>
  <r>
    <x v="4"/>
    <x v="6"/>
    <n v="-33"/>
  </r>
  <r>
    <x v="5"/>
    <x v="6"/>
    <n v="-28"/>
  </r>
  <r>
    <x v="6"/>
    <x v="6"/>
    <n v="-15"/>
  </r>
  <r>
    <x v="7"/>
    <x v="6"/>
    <n v="-18"/>
  </r>
  <r>
    <x v="8"/>
    <x v="6"/>
    <n v="-8"/>
  </r>
  <r>
    <x v="9"/>
    <x v="6"/>
    <n v="-5"/>
  </r>
  <r>
    <x v="10"/>
    <x v="6"/>
    <n v="-29"/>
  </r>
  <r>
    <x v="11"/>
    <x v="6"/>
    <n v="-21"/>
  </r>
  <r>
    <x v="12"/>
    <x v="6"/>
    <n v="-26"/>
  </r>
  <r>
    <x v="13"/>
    <x v="6"/>
    <n v="-12"/>
  </r>
  <r>
    <x v="14"/>
    <x v="6"/>
    <n v="-31"/>
  </r>
  <r>
    <x v="15"/>
    <x v="6"/>
    <n v="-16"/>
  </r>
  <r>
    <x v="16"/>
    <x v="6"/>
    <n v="-5"/>
  </r>
  <r>
    <x v="17"/>
    <x v="6"/>
    <n v="-4"/>
  </r>
  <r>
    <x v="18"/>
    <x v="6"/>
    <n v="-23"/>
  </r>
  <r>
    <x v="19"/>
    <x v="6"/>
    <n v="-13"/>
  </r>
  <r>
    <x v="20"/>
    <x v="6"/>
    <n v="-6"/>
  </r>
  <r>
    <x v="21"/>
    <x v="6"/>
    <n v="-7"/>
  </r>
  <r>
    <x v="22"/>
    <x v="6"/>
    <n v="-25"/>
  </r>
  <r>
    <x v="23"/>
    <x v="6"/>
    <n v="-29"/>
  </r>
  <r>
    <x v="24"/>
    <x v="6"/>
    <n v="-47"/>
  </r>
  <r>
    <x v="25"/>
    <x v="6"/>
    <n v="-24"/>
  </r>
  <r>
    <x v="26"/>
    <x v="6"/>
    <n v="-25"/>
  </r>
  <r>
    <x v="27"/>
    <x v="6"/>
    <n v="-34"/>
  </r>
  <r>
    <x v="28"/>
    <x v="6"/>
    <n v="-33"/>
  </r>
  <r>
    <x v="29"/>
    <x v="6"/>
    <n v="-42"/>
  </r>
  <r>
    <x v="30"/>
    <x v="6"/>
    <n v="-31"/>
  </r>
  <r>
    <x v="31"/>
    <x v="6"/>
    <n v="-40"/>
  </r>
  <r>
    <x v="32"/>
    <x v="6"/>
    <n v="-40"/>
  </r>
  <r>
    <x v="33"/>
    <x v="6"/>
    <n v="-33"/>
  </r>
  <r>
    <x v="34"/>
    <x v="6"/>
    <n v="-23"/>
  </r>
  <r>
    <x v="35"/>
    <x v="6"/>
    <n v="-1"/>
  </r>
  <r>
    <x v="36"/>
    <x v="6"/>
    <n v="-31"/>
  </r>
  <r>
    <x v="37"/>
    <x v="6"/>
    <n v="-21"/>
  </r>
  <r>
    <x v="38"/>
    <x v="6"/>
    <n v="-19"/>
  </r>
  <r>
    <x v="39"/>
    <x v="6"/>
    <n v="-19"/>
  </r>
  <r>
    <x v="40"/>
    <x v="6"/>
    <n v="-30"/>
  </r>
  <r>
    <x v="41"/>
    <x v="6"/>
    <n v="-14"/>
  </r>
  <r>
    <x v="42"/>
    <x v="6"/>
    <n v="-24"/>
  </r>
  <r>
    <x v="43"/>
    <x v="6"/>
    <n v="-27"/>
  </r>
  <r>
    <x v="44"/>
    <x v="6"/>
    <n v="-25"/>
  </r>
  <r>
    <x v="45"/>
    <x v="6"/>
    <n v="-27"/>
  </r>
  <r>
    <x v="46"/>
    <x v="6"/>
    <n v="-19"/>
  </r>
  <r>
    <x v="47"/>
    <x v="6"/>
    <n v="-13"/>
  </r>
  <r>
    <x v="48"/>
    <x v="6"/>
    <n v="-19"/>
  </r>
  <r>
    <x v="49"/>
    <x v="6"/>
    <n v="-32"/>
  </r>
  <r>
    <x v="50"/>
    <x v="6"/>
    <n v="-14"/>
  </r>
  <r>
    <x v="51"/>
    <x v="6"/>
    <n v="2"/>
  </r>
  <r>
    <x v="52"/>
    <x v="6"/>
    <n v="-23"/>
  </r>
  <r>
    <x v="53"/>
    <x v="6"/>
    <n v="-19"/>
  </r>
  <r>
    <x v="54"/>
    <x v="6"/>
    <n v="-10"/>
  </r>
  <r>
    <x v="55"/>
    <x v="6"/>
    <n v="-18"/>
  </r>
  <r>
    <x v="56"/>
    <x v="6"/>
    <n v="-5"/>
  </r>
  <r>
    <x v="57"/>
    <x v="6"/>
    <n v="-3"/>
  </r>
  <r>
    <x v="58"/>
    <x v="6"/>
    <n v="-8"/>
  </r>
  <r>
    <x v="59"/>
    <x v="6"/>
    <n v="-5"/>
  </r>
  <r>
    <x v="60"/>
    <x v="6"/>
    <n v="11"/>
  </r>
  <r>
    <x v="61"/>
    <x v="6"/>
    <n v="16"/>
  </r>
  <r>
    <x v="62"/>
    <x v="6"/>
    <n v="3"/>
  </r>
  <r>
    <x v="63"/>
    <x v="6"/>
    <n v="15"/>
  </r>
  <r>
    <x v="64"/>
    <x v="6"/>
    <n v="23"/>
  </r>
  <r>
    <x v="65"/>
    <x v="6"/>
    <n v="8"/>
  </r>
  <r>
    <x v="66"/>
    <x v="6"/>
    <n v="-7"/>
  </r>
  <r>
    <x v="67"/>
    <x v="6"/>
    <n v="-3"/>
  </r>
  <r>
    <x v="68"/>
    <x v="6"/>
    <n v="-13"/>
  </r>
  <r>
    <x v="69"/>
    <x v="6"/>
    <n v="-13"/>
  </r>
  <r>
    <x v="70"/>
    <x v="6"/>
    <n v="-9"/>
  </r>
  <r>
    <x v="71"/>
    <x v="6"/>
    <n v="-2"/>
  </r>
  <r>
    <x v="72"/>
    <x v="6"/>
    <n v="6"/>
  </r>
  <r>
    <x v="73"/>
    <x v="6"/>
    <n v="3"/>
  </r>
  <r>
    <x v="74"/>
    <x v="6"/>
    <n v="-16"/>
  </r>
  <r>
    <x v="75"/>
    <x v="6"/>
    <n v="-7"/>
  </r>
  <r>
    <x v="76"/>
    <x v="6"/>
    <n v="-11"/>
  </r>
  <r>
    <x v="77"/>
    <x v="6"/>
    <n v="0"/>
  </r>
  <r>
    <x v="78"/>
    <x v="6"/>
    <n v="3"/>
  </r>
  <r>
    <x v="79"/>
    <x v="6"/>
    <n v="5"/>
  </r>
  <r>
    <x v="80"/>
    <x v="6"/>
    <n v="-3"/>
  </r>
  <r>
    <x v="81"/>
    <x v="6"/>
    <n v="-4"/>
  </r>
  <r>
    <x v="82"/>
    <x v="6"/>
    <n v="-2"/>
  </r>
  <r>
    <x v="83"/>
    <x v="6"/>
    <n v="9"/>
  </r>
  <r>
    <x v="84"/>
    <x v="6"/>
    <n v="-7"/>
  </r>
  <r>
    <x v="85"/>
    <x v="6"/>
    <n v="-10"/>
  </r>
  <r>
    <x v="86"/>
    <x v="6"/>
    <n v="8"/>
  </r>
  <r>
    <x v="87"/>
    <x v="6"/>
    <n v="-1"/>
  </r>
  <r>
    <x v="88"/>
    <x v="6"/>
    <n v="-10"/>
  </r>
  <r>
    <x v="89"/>
    <x v="6"/>
    <n v="-2"/>
  </r>
  <r>
    <x v="90"/>
    <x v="6"/>
    <n v="-4"/>
  </r>
  <r>
    <x v="91"/>
    <x v="6"/>
    <n v="-13"/>
  </r>
  <r>
    <x v="92"/>
    <x v="6"/>
    <n v="2"/>
  </r>
  <r>
    <x v="93"/>
    <x v="6"/>
    <n v="9"/>
  </r>
  <r>
    <x v="94"/>
    <x v="6"/>
    <n v="-3"/>
  </r>
  <r>
    <x v="95"/>
    <x v="6"/>
    <n v="-2"/>
  </r>
  <r>
    <x v="96"/>
    <x v="6"/>
    <n v="-10"/>
  </r>
  <r>
    <x v="97"/>
    <x v="6"/>
    <n v="23"/>
  </r>
  <r>
    <x v="98"/>
    <x v="6"/>
    <n v="7"/>
  </r>
  <r>
    <x v="99"/>
    <x v="6"/>
    <n v="2"/>
  </r>
  <r>
    <x v="100"/>
    <x v="6"/>
    <n v="28"/>
  </r>
  <r>
    <x v="101"/>
    <x v="6"/>
    <n v="35"/>
  </r>
  <r>
    <x v="102"/>
    <x v="6"/>
    <n v="13"/>
  </r>
  <r>
    <x v="103"/>
    <x v="6"/>
    <n v="15"/>
  </r>
  <r>
    <x v="104"/>
    <x v="6"/>
    <n v="15"/>
  </r>
  <r>
    <x v="105"/>
    <x v="6"/>
    <n v="2"/>
  </r>
  <r>
    <x v="106"/>
    <x v="6"/>
    <n v="13"/>
  </r>
  <r>
    <x v="107"/>
    <x v="6"/>
    <n v="47"/>
  </r>
  <r>
    <x v="108"/>
    <x v="6"/>
    <n v="35"/>
  </r>
  <r>
    <x v="109"/>
    <x v="6"/>
    <n v="33"/>
  </r>
  <r>
    <x v="110"/>
    <x v="6"/>
    <n v="43"/>
  </r>
  <r>
    <x v="111"/>
    <x v="6"/>
    <n v="51"/>
  </r>
  <r>
    <x v="112"/>
    <x v="6"/>
    <n v="13"/>
  </r>
  <r>
    <x v="113"/>
    <x v="6"/>
    <n v="27"/>
  </r>
  <r>
    <x v="114"/>
    <x v="6"/>
    <n v="31"/>
  </r>
  <r>
    <x v="115"/>
    <x v="6"/>
    <n v="49"/>
  </r>
  <r>
    <x v="116"/>
    <x v="6"/>
    <n v="35"/>
  </r>
  <r>
    <x v="117"/>
    <x v="6"/>
    <n v="37"/>
  </r>
  <r>
    <x v="118"/>
    <x v="6"/>
    <n v="70"/>
  </r>
  <r>
    <x v="119"/>
    <x v="6"/>
    <n v="41"/>
  </r>
  <r>
    <x v="120"/>
    <x v="6"/>
    <n v="42"/>
  </r>
  <r>
    <x v="121"/>
    <x v="6"/>
    <n v="60"/>
  </r>
  <r>
    <x v="122"/>
    <x v="6"/>
    <n v="61"/>
  </r>
  <r>
    <x v="123"/>
    <x v="6"/>
    <n v="55"/>
  </r>
  <r>
    <x v="124"/>
    <x v="6"/>
    <n v="27"/>
  </r>
  <r>
    <x v="125"/>
    <x v="6"/>
    <n v="66"/>
  </r>
  <r>
    <x v="126"/>
    <x v="6"/>
    <n v="55"/>
  </r>
  <r>
    <x v="127"/>
    <x v="6"/>
    <n v="62"/>
  </r>
  <r>
    <x v="128"/>
    <x v="6"/>
    <n v="60"/>
  </r>
  <r>
    <x v="129"/>
    <x v="6"/>
    <n v="73"/>
  </r>
  <r>
    <x v="130"/>
    <x v="6"/>
    <n v="61"/>
  </r>
  <r>
    <x v="131"/>
    <x v="6"/>
    <n v="74"/>
  </r>
  <r>
    <x v="132"/>
    <x v="6"/>
    <n v="56"/>
  </r>
  <r>
    <x v="133"/>
    <x v="6"/>
    <n v="59"/>
  </r>
  <r>
    <x v="134"/>
    <x v="6"/>
    <n v="58"/>
  </r>
  <r>
    <x v="135"/>
    <x v="6"/>
    <m/>
  </r>
  <r>
    <x v="0"/>
    <x v="7"/>
    <n v="-6"/>
  </r>
  <r>
    <x v="1"/>
    <x v="7"/>
    <n v="-1"/>
  </r>
  <r>
    <x v="2"/>
    <x v="7"/>
    <n v="5"/>
  </r>
  <r>
    <x v="3"/>
    <x v="7"/>
    <n v="-12"/>
  </r>
  <r>
    <x v="4"/>
    <x v="7"/>
    <n v="-25"/>
  </r>
  <r>
    <x v="5"/>
    <x v="7"/>
    <n v="-27"/>
  </r>
  <r>
    <x v="6"/>
    <x v="7"/>
    <n v="-31"/>
  </r>
  <r>
    <x v="7"/>
    <x v="7"/>
    <n v="-27"/>
  </r>
  <r>
    <x v="8"/>
    <x v="7"/>
    <n v="-10"/>
  </r>
  <r>
    <x v="9"/>
    <x v="7"/>
    <n v="-18"/>
  </r>
  <r>
    <x v="10"/>
    <x v="7"/>
    <n v="-35"/>
  </r>
  <r>
    <x v="11"/>
    <x v="7"/>
    <n v="-20"/>
  </r>
  <r>
    <x v="12"/>
    <x v="7"/>
    <n v="-18"/>
  </r>
  <r>
    <x v="13"/>
    <x v="7"/>
    <n v="-22"/>
  </r>
  <r>
    <x v="14"/>
    <x v="7"/>
    <n v="-26"/>
  </r>
  <r>
    <x v="15"/>
    <x v="7"/>
    <n v="-15"/>
  </r>
  <r>
    <x v="16"/>
    <x v="7"/>
    <n v="-8"/>
  </r>
  <r>
    <x v="17"/>
    <x v="7"/>
    <n v="-3"/>
  </r>
  <r>
    <x v="18"/>
    <x v="7"/>
    <n v="-23"/>
  </r>
  <r>
    <x v="19"/>
    <x v="7"/>
    <n v="-4"/>
  </r>
  <r>
    <x v="20"/>
    <x v="7"/>
    <n v="-3"/>
  </r>
  <r>
    <x v="21"/>
    <x v="7"/>
    <n v="-11"/>
  </r>
  <r>
    <x v="22"/>
    <x v="7"/>
    <n v="-27"/>
  </r>
  <r>
    <x v="23"/>
    <x v="7"/>
    <n v="-43"/>
  </r>
  <r>
    <x v="24"/>
    <x v="7"/>
    <n v="-42"/>
  </r>
  <r>
    <x v="25"/>
    <x v="7"/>
    <n v="-20"/>
  </r>
  <r>
    <x v="26"/>
    <x v="7"/>
    <n v="-18"/>
  </r>
  <r>
    <x v="27"/>
    <x v="7"/>
    <n v="-36"/>
  </r>
  <r>
    <x v="28"/>
    <x v="7"/>
    <n v="-44"/>
  </r>
  <r>
    <x v="29"/>
    <x v="7"/>
    <n v="-30"/>
  </r>
  <r>
    <x v="30"/>
    <x v="7"/>
    <n v="-33"/>
  </r>
  <r>
    <x v="31"/>
    <x v="7"/>
    <n v="-42"/>
  </r>
  <r>
    <x v="32"/>
    <x v="7"/>
    <n v="-51"/>
  </r>
  <r>
    <x v="33"/>
    <x v="7"/>
    <n v="-31"/>
  </r>
  <r>
    <x v="34"/>
    <x v="7"/>
    <n v="-13"/>
  </r>
  <r>
    <x v="35"/>
    <x v="7"/>
    <n v="-14"/>
  </r>
  <r>
    <x v="36"/>
    <x v="7"/>
    <n v="-25"/>
  </r>
  <r>
    <x v="37"/>
    <x v="7"/>
    <n v="-25"/>
  </r>
  <r>
    <x v="38"/>
    <x v="7"/>
    <n v="-24"/>
  </r>
  <r>
    <x v="39"/>
    <x v="7"/>
    <n v="-18"/>
  </r>
  <r>
    <x v="40"/>
    <x v="7"/>
    <n v="-27"/>
  </r>
  <r>
    <x v="41"/>
    <x v="7"/>
    <n v="-22"/>
  </r>
  <r>
    <x v="42"/>
    <x v="7"/>
    <n v="-29"/>
  </r>
  <r>
    <x v="43"/>
    <x v="7"/>
    <n v="-28"/>
  </r>
  <r>
    <x v="44"/>
    <x v="7"/>
    <n v="-32"/>
  </r>
  <r>
    <x v="45"/>
    <x v="7"/>
    <n v="-17"/>
  </r>
  <r>
    <x v="46"/>
    <x v="7"/>
    <n v="-9"/>
  </r>
  <r>
    <x v="47"/>
    <x v="7"/>
    <n v="-18"/>
  </r>
  <r>
    <x v="48"/>
    <x v="7"/>
    <n v="-24"/>
  </r>
  <r>
    <x v="49"/>
    <x v="7"/>
    <n v="-28"/>
  </r>
  <r>
    <x v="50"/>
    <x v="7"/>
    <n v="-9"/>
  </r>
  <r>
    <x v="51"/>
    <x v="7"/>
    <n v="0"/>
  </r>
  <r>
    <x v="52"/>
    <x v="7"/>
    <n v="-23"/>
  </r>
  <r>
    <x v="53"/>
    <x v="7"/>
    <n v="-22"/>
  </r>
  <r>
    <x v="54"/>
    <x v="7"/>
    <n v="-9"/>
  </r>
  <r>
    <x v="55"/>
    <x v="7"/>
    <n v="-16"/>
  </r>
  <r>
    <x v="56"/>
    <x v="7"/>
    <n v="-11"/>
  </r>
  <r>
    <x v="57"/>
    <x v="7"/>
    <n v="4"/>
  </r>
  <r>
    <x v="58"/>
    <x v="7"/>
    <n v="-3"/>
  </r>
  <r>
    <x v="59"/>
    <x v="7"/>
    <n v="-4"/>
  </r>
  <r>
    <x v="60"/>
    <x v="7"/>
    <n v="1"/>
  </r>
  <r>
    <x v="61"/>
    <x v="7"/>
    <n v="15"/>
  </r>
  <r>
    <x v="62"/>
    <x v="7"/>
    <n v="-2"/>
  </r>
  <r>
    <x v="63"/>
    <x v="7"/>
    <n v="4"/>
  </r>
  <r>
    <x v="64"/>
    <x v="7"/>
    <n v="23"/>
  </r>
  <r>
    <x v="65"/>
    <x v="7"/>
    <n v="26"/>
  </r>
  <r>
    <x v="66"/>
    <x v="7"/>
    <n v="-9"/>
  </r>
  <r>
    <x v="67"/>
    <x v="7"/>
    <n v="-7"/>
  </r>
  <r>
    <x v="68"/>
    <x v="7"/>
    <n v="-9"/>
  </r>
  <r>
    <x v="69"/>
    <x v="7"/>
    <n v="-9"/>
  </r>
  <r>
    <x v="70"/>
    <x v="7"/>
    <n v="-18"/>
  </r>
  <r>
    <x v="71"/>
    <x v="7"/>
    <n v="6"/>
  </r>
  <r>
    <x v="72"/>
    <x v="7"/>
    <n v="8"/>
  </r>
  <r>
    <x v="73"/>
    <x v="7"/>
    <n v="9"/>
  </r>
  <r>
    <x v="74"/>
    <x v="7"/>
    <n v="-12"/>
  </r>
  <r>
    <x v="75"/>
    <x v="7"/>
    <n v="7"/>
  </r>
  <r>
    <x v="76"/>
    <x v="7"/>
    <n v="-26"/>
  </r>
  <r>
    <x v="77"/>
    <x v="7"/>
    <n v="14"/>
  </r>
  <r>
    <x v="78"/>
    <x v="7"/>
    <n v="-6"/>
  </r>
  <r>
    <x v="79"/>
    <x v="7"/>
    <n v="-1"/>
  </r>
  <r>
    <x v="80"/>
    <x v="7"/>
    <n v="0"/>
  </r>
  <r>
    <x v="81"/>
    <x v="7"/>
    <n v="0"/>
  </r>
  <r>
    <x v="82"/>
    <x v="7"/>
    <n v="-3"/>
  </r>
  <r>
    <x v="83"/>
    <x v="7"/>
    <n v="23"/>
  </r>
  <r>
    <x v="84"/>
    <x v="7"/>
    <n v="-22"/>
  </r>
  <r>
    <x v="85"/>
    <x v="7"/>
    <n v="-1"/>
  </r>
  <r>
    <x v="86"/>
    <x v="7"/>
    <n v="-11"/>
  </r>
  <r>
    <x v="87"/>
    <x v="7"/>
    <n v="3"/>
  </r>
  <r>
    <x v="88"/>
    <x v="7"/>
    <n v="-11"/>
  </r>
  <r>
    <x v="89"/>
    <x v="7"/>
    <n v="3"/>
  </r>
  <r>
    <x v="90"/>
    <x v="7"/>
    <n v="-10"/>
  </r>
  <r>
    <x v="91"/>
    <x v="7"/>
    <n v="-3"/>
  </r>
  <r>
    <x v="92"/>
    <x v="7"/>
    <n v="18"/>
  </r>
  <r>
    <x v="93"/>
    <x v="7"/>
    <n v="2"/>
  </r>
  <r>
    <x v="94"/>
    <x v="7"/>
    <n v="11"/>
  </r>
  <r>
    <x v="95"/>
    <x v="7"/>
    <n v="-21"/>
  </r>
  <r>
    <x v="96"/>
    <x v="7"/>
    <n v="-16"/>
  </r>
  <r>
    <x v="97"/>
    <x v="7"/>
    <n v="20"/>
  </r>
  <r>
    <x v="98"/>
    <x v="7"/>
    <n v="-19"/>
  </r>
  <r>
    <x v="99"/>
    <x v="7"/>
    <n v="14"/>
  </r>
  <r>
    <x v="100"/>
    <x v="7"/>
    <n v="26"/>
  </r>
  <r>
    <x v="101"/>
    <x v="7"/>
    <n v="33"/>
  </r>
  <r>
    <x v="102"/>
    <x v="7"/>
    <n v="9"/>
  </r>
  <r>
    <x v="103"/>
    <x v="7"/>
    <n v="31"/>
  </r>
  <r>
    <x v="104"/>
    <x v="7"/>
    <n v="15"/>
  </r>
  <r>
    <x v="105"/>
    <x v="7"/>
    <n v="15"/>
  </r>
  <r>
    <x v="106"/>
    <x v="7"/>
    <n v="12"/>
  </r>
  <r>
    <x v="107"/>
    <x v="7"/>
    <n v="28"/>
  </r>
  <r>
    <x v="108"/>
    <x v="7"/>
    <n v="44"/>
  </r>
  <r>
    <x v="109"/>
    <x v="7"/>
    <n v="35"/>
  </r>
  <r>
    <x v="110"/>
    <x v="7"/>
    <n v="30"/>
  </r>
  <r>
    <x v="111"/>
    <x v="7"/>
    <n v="42"/>
  </r>
  <r>
    <x v="112"/>
    <x v="7"/>
    <n v="10"/>
  </r>
  <r>
    <x v="113"/>
    <x v="7"/>
    <n v="14"/>
  </r>
  <r>
    <x v="114"/>
    <x v="7"/>
    <n v="22"/>
  </r>
  <r>
    <x v="115"/>
    <x v="7"/>
    <n v="49"/>
  </r>
  <r>
    <x v="116"/>
    <x v="7"/>
    <n v="50"/>
  </r>
  <r>
    <x v="117"/>
    <x v="7"/>
    <n v="42"/>
  </r>
  <r>
    <x v="118"/>
    <x v="7"/>
    <n v="69"/>
  </r>
  <r>
    <x v="119"/>
    <x v="7"/>
    <n v="35"/>
  </r>
  <r>
    <x v="120"/>
    <x v="7"/>
    <n v="43"/>
  </r>
  <r>
    <x v="121"/>
    <x v="7"/>
    <n v="50"/>
  </r>
  <r>
    <x v="122"/>
    <x v="7"/>
    <n v="55"/>
  </r>
  <r>
    <x v="123"/>
    <x v="7"/>
    <n v="66"/>
  </r>
  <r>
    <x v="124"/>
    <x v="7"/>
    <n v="45"/>
  </r>
  <r>
    <x v="125"/>
    <x v="7"/>
    <n v="63"/>
  </r>
  <r>
    <x v="126"/>
    <x v="7"/>
    <n v="71"/>
  </r>
  <r>
    <x v="127"/>
    <x v="7"/>
    <n v="61"/>
  </r>
  <r>
    <x v="128"/>
    <x v="7"/>
    <n v="45"/>
  </r>
  <r>
    <x v="129"/>
    <x v="7"/>
    <n v="68"/>
  </r>
  <r>
    <x v="130"/>
    <x v="7"/>
    <n v="65"/>
  </r>
  <r>
    <x v="131"/>
    <x v="7"/>
    <n v="73"/>
  </r>
  <r>
    <x v="132"/>
    <x v="7"/>
    <n v="64"/>
  </r>
  <r>
    <x v="133"/>
    <x v="7"/>
    <n v="66"/>
  </r>
  <r>
    <x v="134"/>
    <x v="7"/>
    <n v="82"/>
  </r>
  <r>
    <x v="135"/>
    <x v="7"/>
    <m/>
  </r>
  <r>
    <x v="0"/>
    <x v="8"/>
    <n v="-16"/>
  </r>
  <r>
    <x v="1"/>
    <x v="8"/>
    <n v="-8"/>
  </r>
  <r>
    <x v="2"/>
    <x v="8"/>
    <n v="0"/>
  </r>
  <r>
    <x v="3"/>
    <x v="8"/>
    <n v="-18"/>
  </r>
  <r>
    <x v="4"/>
    <x v="8"/>
    <n v="-22"/>
  </r>
  <r>
    <x v="5"/>
    <x v="8"/>
    <n v="-19"/>
  </r>
  <r>
    <x v="6"/>
    <x v="8"/>
    <n v="-18"/>
  </r>
  <r>
    <x v="7"/>
    <x v="8"/>
    <n v="-19"/>
  </r>
  <r>
    <x v="8"/>
    <x v="8"/>
    <n v="-7"/>
  </r>
  <r>
    <x v="9"/>
    <x v="8"/>
    <n v="-18"/>
  </r>
  <r>
    <x v="10"/>
    <x v="8"/>
    <n v="-36"/>
  </r>
  <r>
    <x v="11"/>
    <x v="8"/>
    <n v="-13"/>
  </r>
  <r>
    <x v="12"/>
    <x v="8"/>
    <n v="-24"/>
  </r>
  <r>
    <x v="13"/>
    <x v="8"/>
    <n v="-17"/>
  </r>
  <r>
    <x v="14"/>
    <x v="8"/>
    <n v="-22"/>
  </r>
  <r>
    <x v="15"/>
    <x v="8"/>
    <n v="-1"/>
  </r>
  <r>
    <x v="16"/>
    <x v="8"/>
    <n v="-3"/>
  </r>
  <r>
    <x v="17"/>
    <x v="8"/>
    <n v="-4"/>
  </r>
  <r>
    <x v="18"/>
    <x v="8"/>
    <n v="-20"/>
  </r>
  <r>
    <x v="19"/>
    <x v="8"/>
    <n v="-2"/>
  </r>
  <r>
    <x v="20"/>
    <x v="8"/>
    <n v="2"/>
  </r>
  <r>
    <x v="21"/>
    <x v="8"/>
    <n v="-16"/>
  </r>
  <r>
    <x v="22"/>
    <x v="8"/>
    <n v="-20"/>
  </r>
  <r>
    <x v="23"/>
    <x v="8"/>
    <n v="-42"/>
  </r>
  <r>
    <x v="24"/>
    <x v="8"/>
    <n v="-46"/>
  </r>
  <r>
    <x v="25"/>
    <x v="8"/>
    <n v="-14"/>
  </r>
  <r>
    <x v="26"/>
    <x v="8"/>
    <n v="-24"/>
  </r>
  <r>
    <x v="27"/>
    <x v="8"/>
    <n v="-31"/>
  </r>
  <r>
    <x v="28"/>
    <x v="8"/>
    <n v="-32"/>
  </r>
  <r>
    <x v="29"/>
    <x v="8"/>
    <n v="-37"/>
  </r>
  <r>
    <x v="30"/>
    <x v="8"/>
    <n v="-36"/>
  </r>
  <r>
    <x v="31"/>
    <x v="8"/>
    <n v="-38"/>
  </r>
  <r>
    <x v="32"/>
    <x v="8"/>
    <n v="-47"/>
  </r>
  <r>
    <x v="33"/>
    <x v="8"/>
    <n v="-32"/>
  </r>
  <r>
    <x v="34"/>
    <x v="8"/>
    <n v="-13"/>
  </r>
  <r>
    <x v="35"/>
    <x v="8"/>
    <n v="-11"/>
  </r>
  <r>
    <x v="36"/>
    <x v="8"/>
    <n v="-28"/>
  </r>
  <r>
    <x v="37"/>
    <x v="8"/>
    <n v="-17"/>
  </r>
  <r>
    <x v="38"/>
    <x v="8"/>
    <n v="-13"/>
  </r>
  <r>
    <x v="39"/>
    <x v="8"/>
    <n v="-16"/>
  </r>
  <r>
    <x v="40"/>
    <x v="8"/>
    <n v="-18"/>
  </r>
  <r>
    <x v="41"/>
    <x v="8"/>
    <n v="-16"/>
  </r>
  <r>
    <x v="42"/>
    <x v="8"/>
    <n v="-27"/>
  </r>
  <r>
    <x v="43"/>
    <x v="8"/>
    <n v="-26"/>
  </r>
  <r>
    <x v="44"/>
    <x v="8"/>
    <n v="-29"/>
  </r>
  <r>
    <x v="45"/>
    <x v="8"/>
    <n v="-12"/>
  </r>
  <r>
    <x v="46"/>
    <x v="8"/>
    <n v="-10"/>
  </r>
  <r>
    <x v="47"/>
    <x v="8"/>
    <n v="-5"/>
  </r>
  <r>
    <x v="48"/>
    <x v="8"/>
    <n v="-19"/>
  </r>
  <r>
    <x v="49"/>
    <x v="8"/>
    <n v="-23"/>
  </r>
  <r>
    <x v="50"/>
    <x v="8"/>
    <n v="-10"/>
  </r>
  <r>
    <x v="51"/>
    <x v="8"/>
    <n v="-6"/>
  </r>
  <r>
    <x v="52"/>
    <x v="8"/>
    <n v="-12"/>
  </r>
  <r>
    <x v="53"/>
    <x v="8"/>
    <n v="-26"/>
  </r>
  <r>
    <x v="54"/>
    <x v="8"/>
    <n v="-15"/>
  </r>
  <r>
    <x v="55"/>
    <x v="8"/>
    <n v="-17"/>
  </r>
  <r>
    <x v="56"/>
    <x v="8"/>
    <n v="-5"/>
  </r>
  <r>
    <x v="57"/>
    <x v="8"/>
    <n v="15"/>
  </r>
  <r>
    <x v="58"/>
    <x v="8"/>
    <n v="4"/>
  </r>
  <r>
    <x v="59"/>
    <x v="8"/>
    <n v="1"/>
  </r>
  <r>
    <x v="60"/>
    <x v="8"/>
    <n v="12"/>
  </r>
  <r>
    <x v="61"/>
    <x v="8"/>
    <n v="3"/>
  </r>
  <r>
    <x v="62"/>
    <x v="8"/>
    <n v="0"/>
  </r>
  <r>
    <x v="63"/>
    <x v="8"/>
    <n v="12"/>
  </r>
  <r>
    <x v="64"/>
    <x v="8"/>
    <n v="31"/>
  </r>
  <r>
    <x v="65"/>
    <x v="8"/>
    <n v="22"/>
  </r>
  <r>
    <x v="66"/>
    <x v="8"/>
    <n v="-2"/>
  </r>
  <r>
    <x v="67"/>
    <x v="8"/>
    <n v="-14"/>
  </r>
  <r>
    <x v="68"/>
    <x v="8"/>
    <n v="-13"/>
  </r>
  <r>
    <x v="69"/>
    <x v="8"/>
    <n v="-9"/>
  </r>
  <r>
    <x v="70"/>
    <x v="8"/>
    <n v="-10"/>
  </r>
  <r>
    <x v="71"/>
    <x v="8"/>
    <n v="4"/>
  </r>
  <r>
    <x v="72"/>
    <x v="8"/>
    <n v="8"/>
  </r>
  <r>
    <x v="73"/>
    <x v="8"/>
    <n v="6"/>
  </r>
  <r>
    <x v="74"/>
    <x v="8"/>
    <n v="-7"/>
  </r>
  <r>
    <x v="75"/>
    <x v="8"/>
    <n v="-14"/>
  </r>
  <r>
    <x v="76"/>
    <x v="8"/>
    <n v="-19"/>
  </r>
  <r>
    <x v="77"/>
    <x v="8"/>
    <n v="8"/>
  </r>
  <r>
    <x v="78"/>
    <x v="8"/>
    <n v="-5"/>
  </r>
  <r>
    <x v="79"/>
    <x v="8"/>
    <n v="-5"/>
  </r>
  <r>
    <x v="80"/>
    <x v="8"/>
    <n v="4"/>
  </r>
  <r>
    <x v="81"/>
    <x v="8"/>
    <n v="5"/>
  </r>
  <r>
    <x v="82"/>
    <x v="8"/>
    <n v="-2"/>
  </r>
  <r>
    <x v="83"/>
    <x v="8"/>
    <n v="20"/>
  </r>
  <r>
    <x v="84"/>
    <x v="8"/>
    <n v="-28"/>
  </r>
  <r>
    <x v="85"/>
    <x v="8"/>
    <n v="-12"/>
  </r>
  <r>
    <x v="86"/>
    <x v="8"/>
    <n v="-2"/>
  </r>
  <r>
    <x v="87"/>
    <x v="8"/>
    <n v="-4"/>
  </r>
  <r>
    <x v="88"/>
    <x v="8"/>
    <n v="-19"/>
  </r>
  <r>
    <x v="89"/>
    <x v="8"/>
    <n v="10"/>
  </r>
  <r>
    <x v="90"/>
    <x v="8"/>
    <n v="11"/>
  </r>
  <r>
    <x v="91"/>
    <x v="8"/>
    <n v="0"/>
  </r>
  <r>
    <x v="92"/>
    <x v="8"/>
    <n v="4"/>
  </r>
  <r>
    <x v="93"/>
    <x v="8"/>
    <n v="6"/>
  </r>
  <r>
    <x v="94"/>
    <x v="8"/>
    <n v="-14"/>
  </r>
  <r>
    <x v="95"/>
    <x v="8"/>
    <n v="-2"/>
  </r>
  <r>
    <x v="96"/>
    <x v="8"/>
    <n v="-9"/>
  </r>
  <r>
    <x v="97"/>
    <x v="8"/>
    <n v="2"/>
  </r>
  <r>
    <x v="98"/>
    <x v="8"/>
    <n v="6"/>
  </r>
  <r>
    <x v="99"/>
    <x v="8"/>
    <n v="26"/>
  </r>
  <r>
    <x v="100"/>
    <x v="8"/>
    <n v="22"/>
  </r>
  <r>
    <x v="101"/>
    <x v="8"/>
    <n v="18"/>
  </r>
  <r>
    <x v="102"/>
    <x v="8"/>
    <n v="16"/>
  </r>
  <r>
    <x v="103"/>
    <x v="8"/>
    <n v="38"/>
  </r>
  <r>
    <x v="104"/>
    <x v="8"/>
    <n v="19"/>
  </r>
  <r>
    <x v="105"/>
    <x v="8"/>
    <n v="15"/>
  </r>
  <r>
    <x v="106"/>
    <x v="8"/>
    <n v="2"/>
  </r>
  <r>
    <x v="107"/>
    <x v="8"/>
    <n v="40"/>
  </r>
  <r>
    <x v="108"/>
    <x v="8"/>
    <n v="41"/>
  </r>
  <r>
    <x v="109"/>
    <x v="8"/>
    <n v="37"/>
  </r>
  <r>
    <x v="110"/>
    <x v="8"/>
    <n v="29"/>
  </r>
  <r>
    <x v="111"/>
    <x v="8"/>
    <n v="48"/>
  </r>
  <r>
    <x v="112"/>
    <x v="8"/>
    <n v="-1"/>
  </r>
  <r>
    <x v="113"/>
    <x v="8"/>
    <n v="11"/>
  </r>
  <r>
    <x v="114"/>
    <x v="8"/>
    <n v="34"/>
  </r>
  <r>
    <x v="115"/>
    <x v="8"/>
    <n v="34"/>
  </r>
  <r>
    <x v="116"/>
    <x v="8"/>
    <n v="26"/>
  </r>
  <r>
    <x v="117"/>
    <x v="8"/>
    <n v="55"/>
  </r>
  <r>
    <x v="118"/>
    <x v="8"/>
    <n v="46"/>
  </r>
  <r>
    <x v="119"/>
    <x v="8"/>
    <n v="43"/>
  </r>
  <r>
    <x v="120"/>
    <x v="8"/>
    <n v="43"/>
  </r>
  <r>
    <x v="121"/>
    <x v="8"/>
    <n v="56"/>
  </r>
  <r>
    <x v="122"/>
    <x v="8"/>
    <n v="64"/>
  </r>
  <r>
    <x v="123"/>
    <x v="8"/>
    <n v="67"/>
  </r>
  <r>
    <x v="124"/>
    <x v="8"/>
    <n v="53"/>
  </r>
  <r>
    <x v="125"/>
    <x v="8"/>
    <n v="77"/>
  </r>
  <r>
    <x v="126"/>
    <x v="8"/>
    <n v="64"/>
  </r>
  <r>
    <x v="127"/>
    <x v="8"/>
    <n v="65"/>
  </r>
  <r>
    <x v="128"/>
    <x v="8"/>
    <n v="64"/>
  </r>
  <r>
    <x v="129"/>
    <x v="8"/>
    <n v="69"/>
  </r>
  <r>
    <x v="130"/>
    <x v="8"/>
    <n v="61"/>
  </r>
  <r>
    <x v="131"/>
    <x v="8"/>
    <n v="56"/>
  </r>
  <r>
    <x v="132"/>
    <x v="8"/>
    <n v="75"/>
  </r>
  <r>
    <x v="133"/>
    <x v="8"/>
    <n v="77"/>
  </r>
  <r>
    <x v="134"/>
    <x v="8"/>
    <n v="90"/>
  </r>
  <r>
    <x v="135"/>
    <x v="8"/>
    <m/>
  </r>
  <r>
    <x v="0"/>
    <x v="9"/>
    <n v="-15"/>
  </r>
  <r>
    <x v="1"/>
    <x v="9"/>
    <n v="-18"/>
  </r>
  <r>
    <x v="2"/>
    <x v="9"/>
    <n v="-21"/>
  </r>
  <r>
    <x v="3"/>
    <x v="9"/>
    <n v="-11"/>
  </r>
  <r>
    <x v="4"/>
    <x v="9"/>
    <n v="-22"/>
  </r>
  <r>
    <x v="5"/>
    <x v="9"/>
    <n v="-19"/>
  </r>
  <r>
    <x v="6"/>
    <x v="9"/>
    <n v="-25"/>
  </r>
  <r>
    <x v="7"/>
    <x v="9"/>
    <n v="-32"/>
  </r>
  <r>
    <x v="8"/>
    <x v="9"/>
    <n v="2"/>
  </r>
  <r>
    <x v="9"/>
    <x v="9"/>
    <n v="-22"/>
  </r>
  <r>
    <x v="10"/>
    <x v="9"/>
    <n v="-23"/>
  </r>
  <r>
    <x v="11"/>
    <x v="9"/>
    <n v="-23"/>
  </r>
  <r>
    <x v="12"/>
    <x v="9"/>
    <n v="-15"/>
  </r>
  <r>
    <x v="13"/>
    <x v="9"/>
    <n v="-15"/>
  </r>
  <r>
    <x v="14"/>
    <x v="9"/>
    <n v="-16"/>
  </r>
  <r>
    <x v="15"/>
    <x v="9"/>
    <n v="-10"/>
  </r>
  <r>
    <x v="16"/>
    <x v="9"/>
    <n v="6"/>
  </r>
  <r>
    <x v="17"/>
    <x v="9"/>
    <n v="-9"/>
  </r>
  <r>
    <x v="18"/>
    <x v="9"/>
    <n v="-33"/>
  </r>
  <r>
    <x v="19"/>
    <x v="9"/>
    <n v="0"/>
  </r>
  <r>
    <x v="20"/>
    <x v="9"/>
    <n v="10"/>
  </r>
  <r>
    <x v="21"/>
    <x v="9"/>
    <n v="-27"/>
  </r>
  <r>
    <x v="22"/>
    <x v="9"/>
    <n v="-26"/>
  </r>
  <r>
    <x v="23"/>
    <x v="9"/>
    <n v="-41"/>
  </r>
  <r>
    <x v="24"/>
    <x v="9"/>
    <n v="-34"/>
  </r>
  <r>
    <x v="25"/>
    <x v="9"/>
    <n v="-22"/>
  </r>
  <r>
    <x v="26"/>
    <x v="9"/>
    <n v="-20"/>
  </r>
  <r>
    <x v="27"/>
    <x v="9"/>
    <n v="-23"/>
  </r>
  <r>
    <x v="28"/>
    <x v="9"/>
    <n v="-42"/>
  </r>
  <r>
    <x v="29"/>
    <x v="9"/>
    <n v="-39"/>
  </r>
  <r>
    <x v="30"/>
    <x v="9"/>
    <n v="-38"/>
  </r>
  <r>
    <x v="31"/>
    <x v="9"/>
    <n v="-25"/>
  </r>
  <r>
    <x v="32"/>
    <x v="9"/>
    <n v="-55"/>
  </r>
  <r>
    <x v="33"/>
    <x v="9"/>
    <n v="-33"/>
  </r>
  <r>
    <x v="34"/>
    <x v="9"/>
    <n v="-5"/>
  </r>
  <r>
    <x v="35"/>
    <x v="9"/>
    <n v="-21"/>
  </r>
  <r>
    <x v="36"/>
    <x v="9"/>
    <n v="-27"/>
  </r>
  <r>
    <x v="37"/>
    <x v="9"/>
    <n v="-34"/>
  </r>
  <r>
    <x v="38"/>
    <x v="9"/>
    <n v="-2"/>
  </r>
  <r>
    <x v="39"/>
    <x v="9"/>
    <n v="-14"/>
  </r>
  <r>
    <x v="40"/>
    <x v="9"/>
    <n v="-27"/>
  </r>
  <r>
    <x v="41"/>
    <x v="9"/>
    <n v="-5"/>
  </r>
  <r>
    <x v="42"/>
    <x v="9"/>
    <n v="-30"/>
  </r>
  <r>
    <x v="43"/>
    <x v="9"/>
    <n v="-10"/>
  </r>
  <r>
    <x v="44"/>
    <x v="9"/>
    <n v="-34"/>
  </r>
  <r>
    <x v="45"/>
    <x v="9"/>
    <n v="-16"/>
  </r>
  <r>
    <x v="46"/>
    <x v="9"/>
    <n v="-10"/>
  </r>
  <r>
    <x v="47"/>
    <x v="9"/>
    <n v="1"/>
  </r>
  <r>
    <x v="48"/>
    <x v="9"/>
    <n v="-18"/>
  </r>
  <r>
    <x v="49"/>
    <x v="9"/>
    <n v="-14"/>
  </r>
  <r>
    <x v="50"/>
    <x v="9"/>
    <n v="-8"/>
  </r>
  <r>
    <x v="51"/>
    <x v="9"/>
    <n v="0"/>
  </r>
  <r>
    <x v="52"/>
    <x v="9"/>
    <n v="-9"/>
  </r>
  <r>
    <x v="53"/>
    <x v="9"/>
    <n v="-23"/>
  </r>
  <r>
    <x v="54"/>
    <x v="9"/>
    <n v="-10"/>
  </r>
  <r>
    <x v="55"/>
    <x v="9"/>
    <n v="-7"/>
  </r>
  <r>
    <x v="56"/>
    <x v="9"/>
    <n v="-2"/>
  </r>
  <r>
    <x v="57"/>
    <x v="9"/>
    <n v="10"/>
  </r>
  <r>
    <x v="58"/>
    <x v="9"/>
    <n v="13"/>
  </r>
  <r>
    <x v="59"/>
    <x v="9"/>
    <n v="-3"/>
  </r>
  <r>
    <x v="60"/>
    <x v="9"/>
    <n v="8"/>
  </r>
  <r>
    <x v="61"/>
    <x v="9"/>
    <n v="25"/>
  </r>
  <r>
    <x v="62"/>
    <x v="9"/>
    <n v="8"/>
  </r>
  <r>
    <x v="63"/>
    <x v="9"/>
    <n v="31"/>
  </r>
  <r>
    <x v="64"/>
    <x v="9"/>
    <n v="28"/>
  </r>
  <r>
    <x v="65"/>
    <x v="9"/>
    <n v="22"/>
  </r>
  <r>
    <x v="66"/>
    <x v="9"/>
    <n v="-6"/>
  </r>
  <r>
    <x v="67"/>
    <x v="9"/>
    <n v="7"/>
  </r>
  <r>
    <x v="68"/>
    <x v="9"/>
    <n v="-6"/>
  </r>
  <r>
    <x v="69"/>
    <x v="9"/>
    <n v="-3"/>
  </r>
  <r>
    <x v="70"/>
    <x v="9"/>
    <n v="-18"/>
  </r>
  <r>
    <x v="71"/>
    <x v="9"/>
    <n v="9"/>
  </r>
  <r>
    <x v="72"/>
    <x v="9"/>
    <n v="-3"/>
  </r>
  <r>
    <x v="73"/>
    <x v="9"/>
    <n v="5"/>
  </r>
  <r>
    <x v="74"/>
    <x v="9"/>
    <n v="0"/>
  </r>
  <r>
    <x v="75"/>
    <x v="9"/>
    <n v="-5"/>
  </r>
  <r>
    <x v="76"/>
    <x v="9"/>
    <n v="-24"/>
  </r>
  <r>
    <x v="77"/>
    <x v="9"/>
    <n v="0"/>
  </r>
  <r>
    <x v="78"/>
    <x v="9"/>
    <n v="3"/>
  </r>
  <r>
    <x v="79"/>
    <x v="9"/>
    <n v="-9"/>
  </r>
  <r>
    <x v="80"/>
    <x v="9"/>
    <n v="8"/>
  </r>
  <r>
    <x v="81"/>
    <x v="9"/>
    <n v="0"/>
  </r>
  <r>
    <x v="82"/>
    <x v="9"/>
    <n v="-4"/>
  </r>
  <r>
    <x v="83"/>
    <x v="9"/>
    <n v="14"/>
  </r>
  <r>
    <x v="84"/>
    <x v="9"/>
    <n v="-30"/>
  </r>
  <r>
    <x v="85"/>
    <x v="9"/>
    <n v="-4"/>
  </r>
  <r>
    <x v="86"/>
    <x v="9"/>
    <n v="-15"/>
  </r>
  <r>
    <x v="87"/>
    <x v="9"/>
    <n v="7"/>
  </r>
  <r>
    <x v="88"/>
    <x v="9"/>
    <n v="11"/>
  </r>
  <r>
    <x v="89"/>
    <x v="9"/>
    <n v="9"/>
  </r>
  <r>
    <x v="90"/>
    <x v="9"/>
    <n v="4"/>
  </r>
  <r>
    <x v="91"/>
    <x v="9"/>
    <n v="-6"/>
  </r>
  <r>
    <x v="92"/>
    <x v="9"/>
    <n v="7"/>
  </r>
  <r>
    <x v="93"/>
    <x v="9"/>
    <n v="12"/>
  </r>
  <r>
    <x v="94"/>
    <x v="9"/>
    <n v="-7"/>
  </r>
  <r>
    <x v="95"/>
    <x v="9"/>
    <n v="-9"/>
  </r>
  <r>
    <x v="96"/>
    <x v="9"/>
    <n v="-26"/>
  </r>
  <r>
    <x v="97"/>
    <x v="9"/>
    <n v="5"/>
  </r>
  <r>
    <x v="98"/>
    <x v="9"/>
    <n v="1"/>
  </r>
  <r>
    <x v="99"/>
    <x v="9"/>
    <n v="26"/>
  </r>
  <r>
    <x v="100"/>
    <x v="9"/>
    <n v="19"/>
  </r>
  <r>
    <x v="101"/>
    <x v="9"/>
    <n v="14"/>
  </r>
  <r>
    <x v="102"/>
    <x v="9"/>
    <n v="14"/>
  </r>
  <r>
    <x v="103"/>
    <x v="9"/>
    <n v="16"/>
  </r>
  <r>
    <x v="104"/>
    <x v="9"/>
    <n v="15"/>
  </r>
  <r>
    <x v="105"/>
    <x v="9"/>
    <n v="13"/>
  </r>
  <r>
    <x v="106"/>
    <x v="9"/>
    <n v="14"/>
  </r>
  <r>
    <x v="107"/>
    <x v="9"/>
    <n v="33"/>
  </r>
  <r>
    <x v="108"/>
    <x v="9"/>
    <n v="38"/>
  </r>
  <r>
    <x v="109"/>
    <x v="9"/>
    <n v="33"/>
  </r>
  <r>
    <x v="110"/>
    <x v="9"/>
    <n v="42"/>
  </r>
  <r>
    <x v="111"/>
    <x v="9"/>
    <n v="31"/>
  </r>
  <r>
    <x v="112"/>
    <x v="9"/>
    <n v="10"/>
  </r>
  <r>
    <x v="113"/>
    <x v="9"/>
    <n v="23"/>
  </r>
  <r>
    <x v="114"/>
    <x v="9"/>
    <n v="42"/>
  </r>
  <r>
    <x v="115"/>
    <x v="9"/>
    <n v="49"/>
  </r>
  <r>
    <x v="116"/>
    <x v="9"/>
    <n v="21"/>
  </r>
  <r>
    <x v="117"/>
    <x v="9"/>
    <n v="65"/>
  </r>
  <r>
    <x v="118"/>
    <x v="9"/>
    <n v="46"/>
  </r>
  <r>
    <x v="119"/>
    <x v="9"/>
    <n v="42"/>
  </r>
  <r>
    <x v="120"/>
    <x v="9"/>
    <n v="29"/>
  </r>
  <r>
    <x v="121"/>
    <x v="9"/>
    <n v="52"/>
  </r>
  <r>
    <x v="122"/>
    <x v="9"/>
    <n v="57"/>
  </r>
  <r>
    <x v="123"/>
    <x v="9"/>
    <n v="75"/>
  </r>
  <r>
    <x v="124"/>
    <x v="9"/>
    <n v="67"/>
  </r>
  <r>
    <x v="125"/>
    <x v="9"/>
    <n v="80"/>
  </r>
  <r>
    <x v="126"/>
    <x v="9"/>
    <n v="70"/>
  </r>
  <r>
    <x v="127"/>
    <x v="9"/>
    <n v="61"/>
  </r>
  <r>
    <x v="128"/>
    <x v="9"/>
    <n v="67"/>
  </r>
  <r>
    <x v="129"/>
    <x v="9"/>
    <n v="65"/>
  </r>
  <r>
    <x v="130"/>
    <x v="9"/>
    <n v="71"/>
  </r>
  <r>
    <x v="131"/>
    <x v="9"/>
    <n v="67"/>
  </r>
  <r>
    <x v="132"/>
    <x v="9"/>
    <n v="79"/>
  </r>
  <r>
    <x v="133"/>
    <x v="9"/>
    <n v="70"/>
  </r>
  <r>
    <x v="134"/>
    <x v="9"/>
    <n v="86"/>
  </r>
  <r>
    <x v="135"/>
    <x v="9"/>
    <m/>
  </r>
  <r>
    <x v="0"/>
    <x v="10"/>
    <n v="-18"/>
  </r>
  <r>
    <x v="1"/>
    <x v="10"/>
    <n v="-25"/>
  </r>
  <r>
    <x v="2"/>
    <x v="10"/>
    <n v="-20"/>
  </r>
  <r>
    <x v="3"/>
    <x v="10"/>
    <n v="-19"/>
  </r>
  <r>
    <x v="4"/>
    <x v="10"/>
    <n v="-30"/>
  </r>
  <r>
    <x v="5"/>
    <x v="10"/>
    <n v="-22"/>
  </r>
  <r>
    <x v="6"/>
    <x v="10"/>
    <n v="-26"/>
  </r>
  <r>
    <x v="7"/>
    <x v="10"/>
    <n v="-25"/>
  </r>
  <r>
    <x v="8"/>
    <x v="10"/>
    <n v="0"/>
  </r>
  <r>
    <x v="9"/>
    <x v="10"/>
    <n v="-30"/>
  </r>
  <r>
    <x v="10"/>
    <x v="10"/>
    <n v="-37"/>
  </r>
  <r>
    <x v="11"/>
    <x v="10"/>
    <n v="-36"/>
  </r>
  <r>
    <x v="12"/>
    <x v="10"/>
    <n v="-49"/>
  </r>
  <r>
    <x v="13"/>
    <x v="10"/>
    <n v="-16"/>
  </r>
  <r>
    <x v="14"/>
    <x v="10"/>
    <n v="-24"/>
  </r>
  <r>
    <x v="15"/>
    <x v="10"/>
    <n v="-15"/>
  </r>
  <r>
    <x v="16"/>
    <x v="10"/>
    <n v="-15"/>
  </r>
  <r>
    <x v="17"/>
    <x v="10"/>
    <n v="-18"/>
  </r>
  <r>
    <x v="18"/>
    <x v="10"/>
    <n v="-35"/>
  </r>
  <r>
    <x v="19"/>
    <x v="10"/>
    <n v="12"/>
  </r>
  <r>
    <x v="20"/>
    <x v="10"/>
    <n v="-12"/>
  </r>
  <r>
    <x v="21"/>
    <x v="10"/>
    <n v="-15"/>
  </r>
  <r>
    <x v="22"/>
    <x v="10"/>
    <n v="-35"/>
  </r>
  <r>
    <x v="23"/>
    <x v="10"/>
    <n v="-38"/>
  </r>
  <r>
    <x v="24"/>
    <x v="10"/>
    <n v="-16"/>
  </r>
  <r>
    <x v="25"/>
    <x v="10"/>
    <n v="-7"/>
  </r>
  <r>
    <x v="26"/>
    <x v="10"/>
    <n v="-38"/>
  </r>
  <r>
    <x v="27"/>
    <x v="10"/>
    <n v="-50"/>
  </r>
  <r>
    <x v="28"/>
    <x v="10"/>
    <n v="-50"/>
  </r>
  <r>
    <x v="29"/>
    <x v="10"/>
    <n v="-32"/>
  </r>
  <r>
    <x v="30"/>
    <x v="10"/>
    <n v="-55"/>
  </r>
  <r>
    <x v="31"/>
    <x v="10"/>
    <n v="-19"/>
  </r>
  <r>
    <x v="32"/>
    <x v="10"/>
    <n v="-37"/>
  </r>
  <r>
    <x v="33"/>
    <x v="10"/>
    <n v="-17"/>
  </r>
  <r>
    <x v="34"/>
    <x v="10"/>
    <n v="-20"/>
  </r>
  <r>
    <x v="35"/>
    <x v="10"/>
    <n v="-12"/>
  </r>
  <r>
    <x v="36"/>
    <x v="10"/>
    <n v="-42"/>
  </r>
  <r>
    <x v="37"/>
    <x v="10"/>
    <n v="-28"/>
  </r>
  <r>
    <x v="38"/>
    <x v="10"/>
    <n v="-14"/>
  </r>
  <r>
    <x v="39"/>
    <x v="10"/>
    <n v="-29"/>
  </r>
  <r>
    <x v="40"/>
    <x v="10"/>
    <n v="-32"/>
  </r>
  <r>
    <x v="41"/>
    <x v="10"/>
    <n v="-15"/>
  </r>
  <r>
    <x v="42"/>
    <x v="10"/>
    <n v="-15"/>
  </r>
  <r>
    <x v="43"/>
    <x v="10"/>
    <n v="5"/>
  </r>
  <r>
    <x v="44"/>
    <x v="10"/>
    <n v="-21"/>
  </r>
  <r>
    <x v="45"/>
    <x v="10"/>
    <n v="5"/>
  </r>
  <r>
    <x v="46"/>
    <x v="10"/>
    <n v="-6"/>
  </r>
  <r>
    <x v="47"/>
    <x v="10"/>
    <n v="-3"/>
  </r>
  <r>
    <x v="48"/>
    <x v="10"/>
    <n v="-9"/>
  </r>
  <r>
    <x v="49"/>
    <x v="10"/>
    <n v="-14"/>
  </r>
  <r>
    <x v="50"/>
    <x v="10"/>
    <n v="15"/>
  </r>
  <r>
    <x v="51"/>
    <x v="10"/>
    <n v="-10"/>
  </r>
  <r>
    <x v="52"/>
    <x v="10"/>
    <n v="-26"/>
  </r>
  <r>
    <x v="53"/>
    <x v="10"/>
    <n v="-31"/>
  </r>
  <r>
    <x v="54"/>
    <x v="10"/>
    <n v="0"/>
  </r>
  <r>
    <x v="55"/>
    <x v="10"/>
    <n v="-27"/>
  </r>
  <r>
    <x v="56"/>
    <x v="10"/>
    <n v="-4"/>
  </r>
  <r>
    <x v="57"/>
    <x v="10"/>
    <n v="11"/>
  </r>
  <r>
    <x v="58"/>
    <x v="10"/>
    <n v="3"/>
  </r>
  <r>
    <x v="59"/>
    <x v="10"/>
    <n v="7"/>
  </r>
  <r>
    <x v="60"/>
    <x v="10"/>
    <n v="13"/>
  </r>
  <r>
    <x v="61"/>
    <x v="10"/>
    <n v="13"/>
  </r>
  <r>
    <x v="62"/>
    <x v="10"/>
    <n v="14"/>
  </r>
  <r>
    <x v="63"/>
    <x v="10"/>
    <n v="27"/>
  </r>
  <r>
    <x v="64"/>
    <x v="10"/>
    <n v="14"/>
  </r>
  <r>
    <x v="65"/>
    <x v="10"/>
    <n v="10"/>
  </r>
  <r>
    <x v="66"/>
    <x v="10"/>
    <n v="-1"/>
  </r>
  <r>
    <x v="67"/>
    <x v="10"/>
    <n v="0"/>
  </r>
  <r>
    <x v="68"/>
    <x v="10"/>
    <n v="-9"/>
  </r>
  <r>
    <x v="69"/>
    <x v="10"/>
    <n v="-8"/>
  </r>
  <r>
    <x v="70"/>
    <x v="10"/>
    <n v="-34"/>
  </r>
  <r>
    <x v="71"/>
    <x v="10"/>
    <n v="1"/>
  </r>
  <r>
    <x v="72"/>
    <x v="10"/>
    <n v="-16"/>
  </r>
  <r>
    <x v="73"/>
    <x v="10"/>
    <n v="-5"/>
  </r>
  <r>
    <x v="74"/>
    <x v="10"/>
    <n v="9"/>
  </r>
  <r>
    <x v="75"/>
    <x v="10"/>
    <n v="-28"/>
  </r>
  <r>
    <x v="76"/>
    <x v="10"/>
    <n v="-16"/>
  </r>
  <r>
    <x v="77"/>
    <x v="10"/>
    <n v="6"/>
  </r>
  <r>
    <x v="78"/>
    <x v="10"/>
    <n v="2"/>
  </r>
  <r>
    <x v="79"/>
    <x v="10"/>
    <n v="-9"/>
  </r>
  <r>
    <x v="80"/>
    <x v="10"/>
    <n v="-12"/>
  </r>
  <r>
    <x v="81"/>
    <x v="10"/>
    <n v="2"/>
  </r>
  <r>
    <x v="82"/>
    <x v="10"/>
    <n v="6"/>
  </r>
  <r>
    <x v="83"/>
    <x v="10"/>
    <n v="16"/>
  </r>
  <r>
    <x v="84"/>
    <x v="10"/>
    <n v="-21"/>
  </r>
  <r>
    <x v="85"/>
    <x v="10"/>
    <n v="-6"/>
  </r>
  <r>
    <x v="86"/>
    <x v="10"/>
    <n v="-2"/>
  </r>
  <r>
    <x v="87"/>
    <x v="10"/>
    <n v="-6"/>
  </r>
  <r>
    <x v="88"/>
    <x v="10"/>
    <n v="-5"/>
  </r>
  <r>
    <x v="89"/>
    <x v="10"/>
    <n v="12"/>
  </r>
  <r>
    <x v="90"/>
    <x v="10"/>
    <n v="1"/>
  </r>
  <r>
    <x v="91"/>
    <x v="10"/>
    <n v="-5"/>
  </r>
  <r>
    <x v="92"/>
    <x v="10"/>
    <n v="1"/>
  </r>
  <r>
    <x v="93"/>
    <x v="10"/>
    <n v="5"/>
  </r>
  <r>
    <x v="94"/>
    <x v="10"/>
    <n v="-7"/>
  </r>
  <r>
    <x v="95"/>
    <x v="10"/>
    <n v="-16"/>
  </r>
  <r>
    <x v="96"/>
    <x v="10"/>
    <n v="-6"/>
  </r>
  <r>
    <x v="97"/>
    <x v="10"/>
    <n v="20"/>
  </r>
  <r>
    <x v="98"/>
    <x v="10"/>
    <n v="18"/>
  </r>
  <r>
    <x v="99"/>
    <x v="10"/>
    <n v="29"/>
  </r>
  <r>
    <x v="100"/>
    <x v="10"/>
    <n v="29"/>
  </r>
  <r>
    <x v="101"/>
    <x v="10"/>
    <n v="22"/>
  </r>
  <r>
    <x v="102"/>
    <x v="10"/>
    <n v="14"/>
  </r>
  <r>
    <x v="103"/>
    <x v="10"/>
    <n v="31"/>
  </r>
  <r>
    <x v="104"/>
    <x v="10"/>
    <n v="4"/>
  </r>
  <r>
    <x v="105"/>
    <x v="10"/>
    <n v="10"/>
  </r>
  <r>
    <x v="106"/>
    <x v="10"/>
    <n v="11"/>
  </r>
  <r>
    <x v="107"/>
    <x v="10"/>
    <n v="26"/>
  </r>
  <r>
    <x v="108"/>
    <x v="10"/>
    <n v="11"/>
  </r>
  <r>
    <x v="109"/>
    <x v="10"/>
    <n v="19"/>
  </r>
  <r>
    <x v="110"/>
    <x v="10"/>
    <n v="45"/>
  </r>
  <r>
    <x v="111"/>
    <x v="10"/>
    <n v="31"/>
  </r>
  <r>
    <x v="112"/>
    <x v="10"/>
    <n v="4"/>
  </r>
  <r>
    <x v="113"/>
    <x v="10"/>
    <n v="7"/>
  </r>
  <r>
    <x v="114"/>
    <x v="10"/>
    <n v="46"/>
  </r>
  <r>
    <x v="115"/>
    <x v="10"/>
    <n v="44"/>
  </r>
  <r>
    <x v="116"/>
    <x v="10"/>
    <n v="41"/>
  </r>
  <r>
    <x v="117"/>
    <x v="10"/>
    <n v="65"/>
  </r>
  <r>
    <x v="118"/>
    <x v="10"/>
    <n v="49"/>
  </r>
  <r>
    <x v="119"/>
    <x v="10"/>
    <n v="41"/>
  </r>
  <r>
    <x v="120"/>
    <x v="10"/>
    <n v="33"/>
  </r>
  <r>
    <x v="121"/>
    <x v="10"/>
    <n v="71"/>
  </r>
  <r>
    <x v="122"/>
    <x v="10"/>
    <n v="59"/>
  </r>
  <r>
    <x v="123"/>
    <x v="10"/>
    <n v="55"/>
  </r>
  <r>
    <x v="124"/>
    <x v="10"/>
    <n v="72"/>
  </r>
  <r>
    <x v="125"/>
    <x v="10"/>
    <n v="75"/>
  </r>
  <r>
    <x v="126"/>
    <x v="10"/>
    <n v="73"/>
  </r>
  <r>
    <x v="127"/>
    <x v="10"/>
    <n v="57"/>
  </r>
  <r>
    <x v="128"/>
    <x v="10"/>
    <n v="67"/>
  </r>
  <r>
    <x v="129"/>
    <x v="10"/>
    <n v="78"/>
  </r>
  <r>
    <x v="130"/>
    <x v="10"/>
    <n v="79"/>
  </r>
  <r>
    <x v="131"/>
    <x v="10"/>
    <n v="56"/>
  </r>
  <r>
    <x v="132"/>
    <x v="10"/>
    <n v="74"/>
  </r>
  <r>
    <x v="133"/>
    <x v="10"/>
    <n v="81"/>
  </r>
  <r>
    <x v="134"/>
    <x v="10"/>
    <n v="68"/>
  </r>
  <r>
    <x v="135"/>
    <x v="10"/>
    <m/>
  </r>
  <r>
    <x v="0"/>
    <x v="11"/>
    <n v="-20"/>
  </r>
  <r>
    <x v="1"/>
    <x v="11"/>
    <n v="-14"/>
  </r>
  <r>
    <x v="2"/>
    <x v="11"/>
    <n v="-24"/>
  </r>
  <r>
    <x v="3"/>
    <x v="11"/>
    <n v="-17"/>
  </r>
  <r>
    <x v="4"/>
    <x v="11"/>
    <n v="-28"/>
  </r>
  <r>
    <x v="5"/>
    <x v="11"/>
    <n v="-5"/>
  </r>
  <r>
    <x v="6"/>
    <x v="11"/>
    <n v="-24"/>
  </r>
  <r>
    <x v="7"/>
    <x v="11"/>
    <n v="-37"/>
  </r>
  <r>
    <x v="8"/>
    <x v="11"/>
    <n v="-11"/>
  </r>
  <r>
    <x v="9"/>
    <x v="11"/>
    <n v="-29"/>
  </r>
  <r>
    <x v="10"/>
    <x v="11"/>
    <n v="-29"/>
  </r>
  <r>
    <x v="11"/>
    <x v="11"/>
    <n v="1"/>
  </r>
  <r>
    <x v="12"/>
    <x v="11"/>
    <n v="-27"/>
  </r>
  <r>
    <x v="13"/>
    <x v="11"/>
    <n v="-36"/>
  </r>
  <r>
    <x v="14"/>
    <x v="11"/>
    <n v="-21"/>
  </r>
  <r>
    <x v="15"/>
    <x v="11"/>
    <n v="-11"/>
  </r>
  <r>
    <x v="16"/>
    <x v="11"/>
    <n v="-11"/>
  </r>
  <r>
    <x v="17"/>
    <x v="11"/>
    <n v="-26"/>
  </r>
  <r>
    <x v="18"/>
    <x v="11"/>
    <n v="-21"/>
  </r>
  <r>
    <x v="19"/>
    <x v="11"/>
    <n v="-26"/>
  </r>
  <r>
    <x v="20"/>
    <x v="11"/>
    <n v="-13"/>
  </r>
  <r>
    <x v="21"/>
    <x v="11"/>
    <n v="-28"/>
  </r>
  <r>
    <x v="22"/>
    <x v="11"/>
    <n v="-45"/>
  </r>
  <r>
    <x v="23"/>
    <x v="11"/>
    <n v="-46"/>
  </r>
  <r>
    <x v="24"/>
    <x v="11"/>
    <n v="-28"/>
  </r>
  <r>
    <x v="25"/>
    <x v="11"/>
    <n v="-20"/>
  </r>
  <r>
    <x v="26"/>
    <x v="11"/>
    <n v="-16"/>
  </r>
  <r>
    <x v="27"/>
    <x v="11"/>
    <n v="-49"/>
  </r>
  <r>
    <x v="28"/>
    <x v="11"/>
    <n v="-49"/>
  </r>
  <r>
    <x v="29"/>
    <x v="11"/>
    <n v="-53"/>
  </r>
  <r>
    <x v="30"/>
    <x v="11"/>
    <n v="-68"/>
  </r>
  <r>
    <x v="31"/>
    <x v="11"/>
    <n v="-24"/>
  </r>
  <r>
    <x v="32"/>
    <x v="11"/>
    <n v="-40"/>
  </r>
  <r>
    <x v="33"/>
    <x v="11"/>
    <n v="-3"/>
  </r>
  <r>
    <x v="34"/>
    <x v="11"/>
    <n v="-9"/>
  </r>
  <r>
    <x v="35"/>
    <x v="11"/>
    <n v="-24"/>
  </r>
  <r>
    <x v="36"/>
    <x v="11"/>
    <n v="-77"/>
  </r>
  <r>
    <x v="37"/>
    <x v="11"/>
    <n v="-70"/>
  </r>
  <r>
    <x v="38"/>
    <x v="11"/>
    <n v="-27"/>
  </r>
  <r>
    <x v="39"/>
    <x v="11"/>
    <n v="-33"/>
  </r>
  <r>
    <x v="40"/>
    <x v="11"/>
    <n v="-44"/>
  </r>
  <r>
    <x v="41"/>
    <x v="11"/>
    <n v="-17"/>
  </r>
  <r>
    <x v="42"/>
    <x v="11"/>
    <n v="-15"/>
  </r>
  <r>
    <x v="43"/>
    <x v="11"/>
    <n v="-3"/>
  </r>
  <r>
    <x v="44"/>
    <x v="11"/>
    <n v="-40"/>
  </r>
  <r>
    <x v="45"/>
    <x v="11"/>
    <n v="11"/>
  </r>
  <r>
    <x v="46"/>
    <x v="11"/>
    <n v="-29"/>
  </r>
  <r>
    <x v="47"/>
    <x v="11"/>
    <n v="-35"/>
  </r>
  <r>
    <x v="48"/>
    <x v="11"/>
    <n v="-19"/>
  </r>
  <r>
    <x v="49"/>
    <x v="11"/>
    <n v="-53"/>
  </r>
  <r>
    <x v="50"/>
    <x v="11"/>
    <n v="-7"/>
  </r>
  <r>
    <x v="51"/>
    <x v="11"/>
    <n v="-9"/>
  </r>
  <r>
    <x v="52"/>
    <x v="11"/>
    <n v="-22"/>
  </r>
  <r>
    <x v="53"/>
    <x v="11"/>
    <n v="-45"/>
  </r>
  <r>
    <x v="54"/>
    <x v="11"/>
    <n v="-7"/>
  </r>
  <r>
    <x v="55"/>
    <x v="11"/>
    <n v="-20"/>
  </r>
  <r>
    <x v="56"/>
    <x v="11"/>
    <n v="-1"/>
  </r>
  <r>
    <x v="57"/>
    <x v="11"/>
    <n v="-9"/>
  </r>
  <r>
    <x v="58"/>
    <x v="11"/>
    <n v="-23"/>
  </r>
  <r>
    <x v="59"/>
    <x v="11"/>
    <n v="41"/>
  </r>
  <r>
    <x v="60"/>
    <x v="11"/>
    <n v="20"/>
  </r>
  <r>
    <x v="61"/>
    <x v="11"/>
    <n v="15"/>
  </r>
  <r>
    <x v="62"/>
    <x v="11"/>
    <n v="14"/>
  </r>
  <r>
    <x v="63"/>
    <x v="11"/>
    <n v="29"/>
  </r>
  <r>
    <x v="64"/>
    <x v="11"/>
    <n v="8"/>
  </r>
  <r>
    <x v="65"/>
    <x v="11"/>
    <n v="-8"/>
  </r>
  <r>
    <x v="66"/>
    <x v="11"/>
    <n v="-27"/>
  </r>
  <r>
    <x v="67"/>
    <x v="11"/>
    <n v="-15"/>
  </r>
  <r>
    <x v="68"/>
    <x v="11"/>
    <n v="-20"/>
  </r>
  <r>
    <x v="69"/>
    <x v="11"/>
    <n v="-15"/>
  </r>
  <r>
    <x v="70"/>
    <x v="11"/>
    <n v="-19"/>
  </r>
  <r>
    <x v="71"/>
    <x v="11"/>
    <n v="16"/>
  </r>
  <r>
    <x v="72"/>
    <x v="11"/>
    <n v="-2"/>
  </r>
  <r>
    <x v="73"/>
    <x v="11"/>
    <n v="4"/>
  </r>
  <r>
    <x v="74"/>
    <x v="11"/>
    <n v="-16"/>
  </r>
  <r>
    <x v="75"/>
    <x v="11"/>
    <n v="-32"/>
  </r>
  <r>
    <x v="76"/>
    <x v="11"/>
    <n v="-10"/>
  </r>
  <r>
    <x v="77"/>
    <x v="11"/>
    <n v="16"/>
  </r>
  <r>
    <x v="78"/>
    <x v="11"/>
    <n v="0"/>
  </r>
  <r>
    <x v="79"/>
    <x v="11"/>
    <n v="-2"/>
  </r>
  <r>
    <x v="80"/>
    <x v="11"/>
    <n v="18"/>
  </r>
  <r>
    <x v="81"/>
    <x v="11"/>
    <n v="-15"/>
  </r>
  <r>
    <x v="82"/>
    <x v="11"/>
    <n v="-1"/>
  </r>
  <r>
    <x v="83"/>
    <x v="11"/>
    <n v="0"/>
  </r>
  <r>
    <x v="84"/>
    <x v="11"/>
    <n v="-30"/>
  </r>
  <r>
    <x v="85"/>
    <x v="11"/>
    <n v="-6"/>
  </r>
  <r>
    <x v="86"/>
    <x v="11"/>
    <n v="-6"/>
  </r>
  <r>
    <x v="87"/>
    <x v="11"/>
    <n v="-2"/>
  </r>
  <r>
    <x v="88"/>
    <x v="11"/>
    <n v="-14"/>
  </r>
  <r>
    <x v="89"/>
    <x v="11"/>
    <n v="27"/>
  </r>
  <r>
    <x v="90"/>
    <x v="11"/>
    <n v="-14"/>
  </r>
  <r>
    <x v="91"/>
    <x v="11"/>
    <n v="-8"/>
  </r>
  <r>
    <x v="92"/>
    <x v="11"/>
    <n v="18"/>
  </r>
  <r>
    <x v="93"/>
    <x v="11"/>
    <n v="-6"/>
  </r>
  <r>
    <x v="94"/>
    <x v="11"/>
    <n v="-10"/>
  </r>
  <r>
    <x v="95"/>
    <x v="11"/>
    <n v="-17"/>
  </r>
  <r>
    <x v="96"/>
    <x v="11"/>
    <n v="8"/>
  </r>
  <r>
    <x v="97"/>
    <x v="11"/>
    <n v="5"/>
  </r>
  <r>
    <x v="98"/>
    <x v="11"/>
    <n v="11"/>
  </r>
  <r>
    <x v="99"/>
    <x v="11"/>
    <n v="48"/>
  </r>
  <r>
    <x v="100"/>
    <x v="11"/>
    <n v="20"/>
  </r>
  <r>
    <x v="101"/>
    <x v="11"/>
    <n v="40"/>
  </r>
  <r>
    <x v="102"/>
    <x v="11"/>
    <n v="43"/>
  </r>
  <r>
    <x v="103"/>
    <x v="11"/>
    <n v="17"/>
  </r>
  <r>
    <x v="104"/>
    <x v="11"/>
    <n v="-6"/>
  </r>
  <r>
    <x v="105"/>
    <x v="11"/>
    <n v="16"/>
  </r>
  <r>
    <x v="106"/>
    <x v="11"/>
    <n v="16"/>
  </r>
  <r>
    <x v="107"/>
    <x v="11"/>
    <n v="48"/>
  </r>
  <r>
    <x v="108"/>
    <x v="11"/>
    <n v="33"/>
  </r>
  <r>
    <x v="109"/>
    <x v="11"/>
    <n v="36"/>
  </r>
  <r>
    <x v="110"/>
    <x v="11"/>
    <n v="41"/>
  </r>
  <r>
    <x v="111"/>
    <x v="11"/>
    <n v="33"/>
  </r>
  <r>
    <x v="112"/>
    <x v="11"/>
    <n v="22"/>
  </r>
  <r>
    <x v="113"/>
    <x v="11"/>
    <n v="19"/>
  </r>
  <r>
    <x v="114"/>
    <x v="11"/>
    <n v="36"/>
  </r>
  <r>
    <x v="115"/>
    <x v="11"/>
    <n v="30"/>
  </r>
  <r>
    <x v="116"/>
    <x v="11"/>
    <n v="40"/>
  </r>
  <r>
    <x v="117"/>
    <x v="11"/>
    <n v="59"/>
  </r>
  <r>
    <x v="118"/>
    <x v="11"/>
    <n v="58"/>
  </r>
  <r>
    <x v="119"/>
    <x v="11"/>
    <n v="48"/>
  </r>
  <r>
    <x v="120"/>
    <x v="11"/>
    <n v="30"/>
  </r>
  <r>
    <x v="121"/>
    <x v="11"/>
    <n v="55"/>
  </r>
  <r>
    <x v="122"/>
    <x v="11"/>
    <n v="42"/>
  </r>
  <r>
    <x v="123"/>
    <x v="11"/>
    <n v="74"/>
  </r>
  <r>
    <x v="124"/>
    <x v="11"/>
    <n v="52"/>
  </r>
  <r>
    <x v="125"/>
    <x v="11"/>
    <n v="68"/>
  </r>
  <r>
    <x v="126"/>
    <x v="11"/>
    <n v="78"/>
  </r>
  <r>
    <x v="127"/>
    <x v="11"/>
    <n v="49"/>
  </r>
  <r>
    <x v="128"/>
    <x v="11"/>
    <n v="55"/>
  </r>
  <r>
    <x v="129"/>
    <x v="11"/>
    <n v="65"/>
  </r>
  <r>
    <x v="130"/>
    <x v="11"/>
    <n v="49"/>
  </r>
  <r>
    <x v="131"/>
    <x v="11"/>
    <n v="53"/>
  </r>
  <r>
    <x v="132"/>
    <x v="11"/>
    <n v="52"/>
  </r>
  <r>
    <x v="133"/>
    <x v="11"/>
    <n v="67"/>
  </r>
  <r>
    <x v="134"/>
    <x v="11"/>
    <n v="79"/>
  </r>
  <r>
    <x v="135"/>
    <x v="11"/>
    <m/>
  </r>
  <r>
    <x v="0"/>
    <x v="12"/>
    <n v="-19"/>
  </r>
  <r>
    <x v="1"/>
    <x v="12"/>
    <n v="-10"/>
  </r>
  <r>
    <x v="2"/>
    <x v="12"/>
    <n v="-9"/>
  </r>
  <r>
    <x v="3"/>
    <x v="12"/>
    <n v="-19"/>
  </r>
  <r>
    <x v="4"/>
    <x v="12"/>
    <n v="-27"/>
  </r>
  <r>
    <x v="5"/>
    <x v="12"/>
    <n v="-31"/>
  </r>
  <r>
    <x v="6"/>
    <x v="12"/>
    <n v="-30"/>
  </r>
  <r>
    <x v="7"/>
    <x v="12"/>
    <n v="-33"/>
  </r>
  <r>
    <x v="8"/>
    <x v="12"/>
    <n v="-20"/>
  </r>
  <r>
    <x v="9"/>
    <x v="12"/>
    <n v="-11"/>
  </r>
  <r>
    <x v="10"/>
    <x v="12"/>
    <n v="-36"/>
  </r>
  <r>
    <x v="11"/>
    <x v="12"/>
    <n v="-23"/>
  </r>
  <r>
    <x v="12"/>
    <x v="12"/>
    <n v="-26"/>
  </r>
  <r>
    <x v="13"/>
    <x v="12"/>
    <n v="-29"/>
  </r>
  <r>
    <x v="14"/>
    <x v="12"/>
    <n v="-30"/>
  </r>
  <r>
    <x v="15"/>
    <x v="12"/>
    <n v="-21"/>
  </r>
  <r>
    <x v="16"/>
    <x v="12"/>
    <n v="-14"/>
  </r>
  <r>
    <x v="17"/>
    <x v="12"/>
    <n v="-11"/>
  </r>
  <r>
    <x v="18"/>
    <x v="12"/>
    <n v="-28"/>
  </r>
  <r>
    <x v="19"/>
    <x v="12"/>
    <n v="-16"/>
  </r>
  <r>
    <x v="20"/>
    <x v="12"/>
    <n v="-8"/>
  </r>
  <r>
    <x v="21"/>
    <x v="12"/>
    <n v="-13"/>
  </r>
  <r>
    <x v="22"/>
    <x v="12"/>
    <n v="-26"/>
  </r>
  <r>
    <x v="23"/>
    <x v="12"/>
    <n v="-35"/>
  </r>
  <r>
    <x v="24"/>
    <x v="12"/>
    <n v="-44"/>
  </r>
  <r>
    <x v="25"/>
    <x v="12"/>
    <n v="-27"/>
  </r>
  <r>
    <x v="26"/>
    <x v="12"/>
    <n v="-21"/>
  </r>
  <r>
    <x v="27"/>
    <x v="12"/>
    <n v="-39"/>
  </r>
  <r>
    <x v="28"/>
    <x v="12"/>
    <n v="-42"/>
  </r>
  <r>
    <x v="29"/>
    <x v="12"/>
    <n v="-47"/>
  </r>
  <r>
    <x v="30"/>
    <x v="12"/>
    <n v="-42"/>
  </r>
  <r>
    <x v="31"/>
    <x v="12"/>
    <n v="-44"/>
  </r>
  <r>
    <x v="32"/>
    <x v="12"/>
    <n v="-35"/>
  </r>
  <r>
    <x v="33"/>
    <x v="12"/>
    <n v="-33"/>
  </r>
  <r>
    <x v="34"/>
    <x v="12"/>
    <n v="-15"/>
  </r>
  <r>
    <x v="35"/>
    <x v="12"/>
    <n v="-10"/>
  </r>
  <r>
    <x v="36"/>
    <x v="12"/>
    <n v="-33"/>
  </r>
  <r>
    <x v="37"/>
    <x v="12"/>
    <n v="-39"/>
  </r>
  <r>
    <x v="38"/>
    <x v="12"/>
    <n v="-24"/>
  </r>
  <r>
    <x v="39"/>
    <x v="12"/>
    <n v="-21"/>
  </r>
  <r>
    <x v="40"/>
    <x v="12"/>
    <n v="-25"/>
  </r>
  <r>
    <x v="41"/>
    <x v="12"/>
    <n v="-19"/>
  </r>
  <r>
    <x v="42"/>
    <x v="12"/>
    <n v="-26"/>
  </r>
  <r>
    <x v="43"/>
    <x v="12"/>
    <n v="-22"/>
  </r>
  <r>
    <x v="44"/>
    <x v="12"/>
    <n v="-26"/>
  </r>
  <r>
    <x v="45"/>
    <x v="12"/>
    <n v="-19"/>
  </r>
  <r>
    <x v="46"/>
    <x v="12"/>
    <n v="-8"/>
  </r>
  <r>
    <x v="47"/>
    <x v="12"/>
    <n v="-20"/>
  </r>
  <r>
    <x v="48"/>
    <x v="12"/>
    <n v="-20"/>
  </r>
  <r>
    <x v="49"/>
    <x v="12"/>
    <n v="-35"/>
  </r>
  <r>
    <x v="50"/>
    <x v="12"/>
    <n v="-13"/>
  </r>
  <r>
    <x v="51"/>
    <x v="12"/>
    <n v="-9"/>
  </r>
  <r>
    <x v="52"/>
    <x v="12"/>
    <n v="-16"/>
  </r>
  <r>
    <x v="53"/>
    <x v="12"/>
    <n v="-28"/>
  </r>
  <r>
    <x v="54"/>
    <x v="12"/>
    <n v="-13"/>
  </r>
  <r>
    <x v="55"/>
    <x v="12"/>
    <n v="-19"/>
  </r>
  <r>
    <x v="56"/>
    <x v="12"/>
    <n v="-14"/>
  </r>
  <r>
    <x v="57"/>
    <x v="12"/>
    <n v="-1"/>
  </r>
  <r>
    <x v="58"/>
    <x v="12"/>
    <n v="-2"/>
  </r>
  <r>
    <x v="59"/>
    <x v="12"/>
    <n v="-3"/>
  </r>
  <r>
    <x v="60"/>
    <x v="12"/>
    <n v="8"/>
  </r>
  <r>
    <x v="61"/>
    <x v="12"/>
    <n v="13"/>
  </r>
  <r>
    <x v="62"/>
    <x v="12"/>
    <n v="10"/>
  </r>
  <r>
    <x v="63"/>
    <x v="12"/>
    <n v="14"/>
  </r>
  <r>
    <x v="64"/>
    <x v="12"/>
    <n v="26"/>
  </r>
  <r>
    <x v="65"/>
    <x v="12"/>
    <n v="13"/>
  </r>
  <r>
    <x v="66"/>
    <x v="12"/>
    <n v="-3"/>
  </r>
  <r>
    <x v="67"/>
    <x v="12"/>
    <n v="-3"/>
  </r>
  <r>
    <x v="68"/>
    <x v="12"/>
    <n v="-9"/>
  </r>
  <r>
    <x v="69"/>
    <x v="12"/>
    <n v="-9"/>
  </r>
  <r>
    <x v="70"/>
    <x v="12"/>
    <n v="-18"/>
  </r>
  <r>
    <x v="71"/>
    <x v="12"/>
    <n v="-7"/>
  </r>
  <r>
    <x v="72"/>
    <x v="12"/>
    <n v="1"/>
  </r>
  <r>
    <x v="73"/>
    <x v="12"/>
    <n v="8"/>
  </r>
  <r>
    <x v="74"/>
    <x v="12"/>
    <n v="-12"/>
  </r>
  <r>
    <x v="75"/>
    <x v="12"/>
    <n v="-14"/>
  </r>
  <r>
    <x v="76"/>
    <x v="12"/>
    <n v="-20"/>
  </r>
  <r>
    <x v="77"/>
    <x v="12"/>
    <n v="3"/>
  </r>
  <r>
    <x v="78"/>
    <x v="12"/>
    <n v="6"/>
  </r>
  <r>
    <x v="79"/>
    <x v="12"/>
    <n v="3"/>
  </r>
  <r>
    <x v="80"/>
    <x v="12"/>
    <n v="-3"/>
  </r>
  <r>
    <x v="81"/>
    <x v="12"/>
    <n v="5"/>
  </r>
  <r>
    <x v="82"/>
    <x v="12"/>
    <n v="3"/>
  </r>
  <r>
    <x v="83"/>
    <x v="12"/>
    <n v="6"/>
  </r>
  <r>
    <x v="84"/>
    <x v="12"/>
    <n v="-20"/>
  </r>
  <r>
    <x v="85"/>
    <x v="12"/>
    <n v="-10"/>
  </r>
  <r>
    <x v="86"/>
    <x v="12"/>
    <n v="-5"/>
  </r>
  <r>
    <x v="87"/>
    <x v="12"/>
    <n v="-2"/>
  </r>
  <r>
    <x v="88"/>
    <x v="12"/>
    <n v="-7"/>
  </r>
  <r>
    <x v="89"/>
    <x v="12"/>
    <n v="6"/>
  </r>
  <r>
    <x v="90"/>
    <x v="12"/>
    <n v="3"/>
  </r>
  <r>
    <x v="91"/>
    <x v="12"/>
    <n v="-9"/>
  </r>
  <r>
    <x v="92"/>
    <x v="12"/>
    <n v="1"/>
  </r>
  <r>
    <x v="93"/>
    <x v="12"/>
    <n v="15"/>
  </r>
  <r>
    <x v="94"/>
    <x v="12"/>
    <n v="-8"/>
  </r>
  <r>
    <x v="95"/>
    <x v="12"/>
    <n v="-1"/>
  </r>
  <r>
    <x v="96"/>
    <x v="12"/>
    <n v="-11"/>
  </r>
  <r>
    <x v="97"/>
    <x v="12"/>
    <n v="18"/>
  </r>
  <r>
    <x v="98"/>
    <x v="12"/>
    <n v="7"/>
  </r>
  <r>
    <x v="99"/>
    <x v="12"/>
    <n v="17"/>
  </r>
  <r>
    <x v="100"/>
    <x v="12"/>
    <n v="28"/>
  </r>
  <r>
    <x v="101"/>
    <x v="12"/>
    <n v="33"/>
  </r>
  <r>
    <x v="102"/>
    <x v="12"/>
    <n v="13"/>
  </r>
  <r>
    <x v="103"/>
    <x v="12"/>
    <n v="31"/>
  </r>
  <r>
    <x v="104"/>
    <x v="12"/>
    <n v="16"/>
  </r>
  <r>
    <x v="105"/>
    <x v="12"/>
    <n v="12"/>
  </r>
  <r>
    <x v="106"/>
    <x v="12"/>
    <n v="19"/>
  </r>
  <r>
    <x v="107"/>
    <x v="12"/>
    <n v="34"/>
  </r>
  <r>
    <x v="108"/>
    <x v="12"/>
    <n v="40"/>
  </r>
  <r>
    <x v="109"/>
    <x v="12"/>
    <n v="29"/>
  </r>
  <r>
    <x v="110"/>
    <x v="12"/>
    <n v="44"/>
  </r>
  <r>
    <x v="111"/>
    <x v="12"/>
    <n v="42"/>
  </r>
  <r>
    <x v="112"/>
    <x v="12"/>
    <n v="23"/>
  </r>
  <r>
    <x v="113"/>
    <x v="12"/>
    <n v="24"/>
  </r>
  <r>
    <x v="114"/>
    <x v="12"/>
    <n v="32"/>
  </r>
  <r>
    <x v="115"/>
    <x v="12"/>
    <n v="46"/>
  </r>
  <r>
    <x v="116"/>
    <x v="12"/>
    <n v="35"/>
  </r>
  <r>
    <x v="117"/>
    <x v="12"/>
    <n v="48"/>
  </r>
  <r>
    <x v="118"/>
    <x v="12"/>
    <n v="63"/>
  </r>
  <r>
    <x v="119"/>
    <x v="12"/>
    <n v="42"/>
  </r>
  <r>
    <x v="120"/>
    <x v="12"/>
    <n v="42"/>
  </r>
  <r>
    <x v="121"/>
    <x v="12"/>
    <n v="55"/>
  </r>
  <r>
    <x v="122"/>
    <x v="12"/>
    <n v="63"/>
  </r>
  <r>
    <x v="123"/>
    <x v="12"/>
    <n v="62"/>
  </r>
  <r>
    <x v="124"/>
    <x v="12"/>
    <n v="55"/>
  </r>
  <r>
    <x v="125"/>
    <x v="12"/>
    <n v="69"/>
  </r>
  <r>
    <x v="126"/>
    <x v="12"/>
    <n v="64"/>
  </r>
  <r>
    <x v="127"/>
    <x v="12"/>
    <n v="66"/>
  </r>
  <r>
    <x v="128"/>
    <x v="12"/>
    <n v="54"/>
  </r>
  <r>
    <x v="129"/>
    <x v="12"/>
    <n v="65"/>
  </r>
  <r>
    <x v="130"/>
    <x v="12"/>
    <n v="71"/>
  </r>
  <r>
    <x v="131"/>
    <x v="12"/>
    <n v="60"/>
  </r>
  <r>
    <x v="132"/>
    <x v="12"/>
    <n v="63"/>
  </r>
  <r>
    <x v="133"/>
    <x v="12"/>
    <n v="66"/>
  </r>
  <r>
    <x v="134"/>
    <x v="12"/>
    <n v="75"/>
  </r>
  <r>
    <x v="135"/>
    <x v="12"/>
    <m/>
  </r>
  <r>
    <x v="0"/>
    <x v="13"/>
    <m/>
  </r>
  <r>
    <x v="1"/>
    <x v="13"/>
    <n v="-11"/>
  </r>
  <r>
    <x v="2"/>
    <x v="13"/>
    <n v="-8"/>
  </r>
  <r>
    <x v="3"/>
    <x v="13"/>
    <n v="-20"/>
  </r>
  <r>
    <x v="4"/>
    <x v="13"/>
    <n v="-26"/>
  </r>
  <r>
    <x v="5"/>
    <x v="13"/>
    <n v="-33"/>
  </r>
  <r>
    <x v="6"/>
    <x v="13"/>
    <n v="-28"/>
  </r>
  <r>
    <x v="7"/>
    <x v="13"/>
    <n v="-32"/>
  </r>
  <r>
    <x v="8"/>
    <x v="13"/>
    <n v="-22"/>
  </r>
  <r>
    <x v="9"/>
    <x v="13"/>
    <n v="-9"/>
  </r>
  <r>
    <x v="10"/>
    <x v="13"/>
    <n v="-36"/>
  </r>
  <r>
    <x v="11"/>
    <x v="13"/>
    <n v="-26"/>
  </r>
  <r>
    <x v="12"/>
    <x v="13"/>
    <n v="-23"/>
  </r>
  <r>
    <x v="13"/>
    <x v="13"/>
    <n v="-28"/>
  </r>
  <r>
    <x v="14"/>
    <x v="13"/>
    <n v="-31"/>
  </r>
  <r>
    <x v="15"/>
    <x v="13"/>
    <n v="-22"/>
  </r>
  <r>
    <x v="16"/>
    <x v="13"/>
    <n v="-14"/>
  </r>
  <r>
    <x v="17"/>
    <x v="13"/>
    <n v="-10"/>
  </r>
  <r>
    <x v="18"/>
    <x v="13"/>
    <n v="-29"/>
  </r>
  <r>
    <x v="19"/>
    <x v="13"/>
    <n v="-16"/>
  </r>
  <r>
    <x v="20"/>
    <x v="13"/>
    <n v="-9"/>
  </r>
  <r>
    <x v="21"/>
    <x v="13"/>
    <n v="-12"/>
  </r>
  <r>
    <x v="22"/>
    <x v="13"/>
    <n v="-25"/>
  </r>
  <r>
    <x v="23"/>
    <x v="13"/>
    <n v="-34"/>
  </r>
  <r>
    <x v="24"/>
    <x v="13"/>
    <n v="-45"/>
  </r>
  <r>
    <x v="25"/>
    <x v="13"/>
    <n v="-28"/>
  </r>
  <r>
    <x v="26"/>
    <x v="13"/>
    <n v="-22"/>
  </r>
  <r>
    <x v="27"/>
    <x v="13"/>
    <n v="-36"/>
  </r>
  <r>
    <x v="28"/>
    <x v="13"/>
    <n v="-42"/>
  </r>
  <r>
    <x v="29"/>
    <x v="13"/>
    <n v="-47"/>
  </r>
  <r>
    <x v="30"/>
    <x v="13"/>
    <n v="-41"/>
  </r>
  <r>
    <x v="31"/>
    <x v="13"/>
    <n v="-48"/>
  </r>
  <r>
    <x v="32"/>
    <x v="13"/>
    <n v="-33"/>
  </r>
  <r>
    <x v="33"/>
    <x v="13"/>
    <n v="-37"/>
  </r>
  <r>
    <x v="34"/>
    <x v="13"/>
    <n v="-15"/>
  </r>
  <r>
    <x v="35"/>
    <x v="13"/>
    <n v="-9"/>
  </r>
  <r>
    <x v="36"/>
    <x v="13"/>
    <n v="-28"/>
  </r>
  <r>
    <x v="37"/>
    <x v="13"/>
    <n v="-40"/>
  </r>
  <r>
    <x v="38"/>
    <x v="13"/>
    <n v="-28"/>
  </r>
  <r>
    <x v="39"/>
    <x v="13"/>
    <n v="-21"/>
  </r>
  <r>
    <x v="40"/>
    <x v="13"/>
    <n v="-24"/>
  </r>
  <r>
    <x v="41"/>
    <x v="13"/>
    <n v="-22"/>
  </r>
  <r>
    <x v="42"/>
    <x v="13"/>
    <n v="-26"/>
  </r>
  <r>
    <x v="43"/>
    <x v="13"/>
    <n v="-24"/>
  </r>
  <r>
    <x v="44"/>
    <x v="13"/>
    <n v="-23"/>
  </r>
  <r>
    <x v="45"/>
    <x v="13"/>
    <n v="-23"/>
  </r>
  <r>
    <x v="46"/>
    <x v="13"/>
    <n v="-5"/>
  </r>
  <r>
    <x v="47"/>
    <x v="13"/>
    <n v="-19"/>
  </r>
  <r>
    <x v="48"/>
    <x v="13"/>
    <n v="-21"/>
  </r>
  <r>
    <x v="49"/>
    <x v="13"/>
    <n v="-32"/>
  </r>
  <r>
    <x v="50"/>
    <x v="13"/>
    <n v="-17"/>
  </r>
  <r>
    <x v="51"/>
    <x v="13"/>
    <n v="-8"/>
  </r>
  <r>
    <x v="52"/>
    <x v="13"/>
    <n v="-15"/>
  </r>
  <r>
    <x v="53"/>
    <x v="13"/>
    <n v="-26"/>
  </r>
  <r>
    <x v="54"/>
    <x v="13"/>
    <n v="-16"/>
  </r>
  <r>
    <x v="55"/>
    <x v="13"/>
    <n v="-18"/>
  </r>
  <r>
    <x v="56"/>
    <x v="13"/>
    <n v="-16"/>
  </r>
  <r>
    <x v="57"/>
    <x v="13"/>
    <n v="-1"/>
  </r>
  <r>
    <x v="58"/>
    <x v="13"/>
    <n v="-1"/>
  </r>
  <r>
    <x v="59"/>
    <x v="13"/>
    <n v="-8"/>
  </r>
  <r>
    <x v="60"/>
    <x v="13"/>
    <n v="10"/>
  </r>
  <r>
    <x v="61"/>
    <x v="13"/>
    <n v="13"/>
  </r>
  <r>
    <x v="62"/>
    <x v="13"/>
    <n v="10"/>
  </r>
  <r>
    <x v="63"/>
    <x v="13"/>
    <n v="13"/>
  </r>
  <r>
    <x v="64"/>
    <x v="13"/>
    <n v="28"/>
  </r>
  <r>
    <x v="65"/>
    <x v="13"/>
    <n v="14"/>
  </r>
  <r>
    <x v="66"/>
    <x v="13"/>
    <n v="-1"/>
  </r>
  <r>
    <x v="67"/>
    <x v="13"/>
    <n v="-4"/>
  </r>
  <r>
    <x v="68"/>
    <x v="13"/>
    <n v="-9"/>
  </r>
  <r>
    <x v="69"/>
    <x v="13"/>
    <n v="-9"/>
  </r>
  <r>
    <x v="70"/>
    <x v="13"/>
    <n v="-17"/>
  </r>
  <r>
    <x v="71"/>
    <x v="13"/>
    <n v="-10"/>
  </r>
  <r>
    <x v="72"/>
    <x v="13"/>
    <n v="3"/>
  </r>
  <r>
    <x v="73"/>
    <x v="13"/>
    <n v="7"/>
  </r>
  <r>
    <x v="74"/>
    <x v="13"/>
    <n v="-10"/>
  </r>
  <r>
    <x v="75"/>
    <x v="13"/>
    <n v="-13"/>
  </r>
  <r>
    <x v="76"/>
    <x v="13"/>
    <n v="-22"/>
  </r>
  <r>
    <x v="77"/>
    <x v="13"/>
    <n v="1"/>
  </r>
  <r>
    <x v="78"/>
    <x v="13"/>
    <n v="7"/>
  </r>
  <r>
    <x v="79"/>
    <x v="13"/>
    <n v="3"/>
  </r>
  <r>
    <x v="80"/>
    <x v="13"/>
    <n v="-5"/>
  </r>
  <r>
    <x v="81"/>
    <x v="13"/>
    <n v="8"/>
  </r>
  <r>
    <x v="82"/>
    <x v="13"/>
    <n v="1"/>
  </r>
  <r>
    <x v="83"/>
    <x v="13"/>
    <n v="6"/>
  </r>
  <r>
    <x v="84"/>
    <x v="13"/>
    <n v="-18"/>
  </r>
  <r>
    <x v="85"/>
    <x v="13"/>
    <n v="-12"/>
  </r>
  <r>
    <x v="86"/>
    <x v="13"/>
    <n v="-5"/>
  </r>
  <r>
    <x v="87"/>
    <x v="13"/>
    <n v="-3"/>
  </r>
  <r>
    <x v="88"/>
    <x v="13"/>
    <n v="-6"/>
  </r>
  <r>
    <x v="89"/>
    <x v="13"/>
    <n v="3"/>
  </r>
  <r>
    <x v="90"/>
    <x v="13"/>
    <n v="6"/>
  </r>
  <r>
    <x v="91"/>
    <x v="13"/>
    <n v="-10"/>
  </r>
  <r>
    <x v="92"/>
    <x v="13"/>
    <n v="-1"/>
  </r>
  <r>
    <x v="93"/>
    <x v="13"/>
    <n v="17"/>
  </r>
  <r>
    <x v="94"/>
    <x v="13"/>
    <n v="-7"/>
  </r>
  <r>
    <x v="95"/>
    <x v="13"/>
    <n v="-1"/>
  </r>
  <r>
    <x v="96"/>
    <x v="13"/>
    <n v="-13"/>
  </r>
  <r>
    <x v="97"/>
    <x v="13"/>
    <n v="19"/>
  </r>
  <r>
    <x v="98"/>
    <x v="13"/>
    <n v="7"/>
  </r>
  <r>
    <x v="99"/>
    <x v="13"/>
    <n v="14"/>
  </r>
  <r>
    <x v="100"/>
    <x v="13"/>
    <n v="30"/>
  </r>
  <r>
    <x v="101"/>
    <x v="13"/>
    <n v="31"/>
  </r>
  <r>
    <x v="102"/>
    <x v="13"/>
    <n v="13"/>
  </r>
  <r>
    <x v="103"/>
    <x v="13"/>
    <n v="33"/>
  </r>
  <r>
    <x v="104"/>
    <x v="13"/>
    <n v="18"/>
  </r>
  <r>
    <x v="105"/>
    <x v="13"/>
    <n v="11"/>
  </r>
  <r>
    <x v="106"/>
    <x v="13"/>
    <n v="19"/>
  </r>
  <r>
    <x v="107"/>
    <x v="13"/>
    <n v="31"/>
  </r>
  <r>
    <x v="108"/>
    <x v="13"/>
    <n v="41"/>
  </r>
  <r>
    <x v="109"/>
    <x v="13"/>
    <n v="29"/>
  </r>
  <r>
    <x v="110"/>
    <x v="13"/>
    <n v="43"/>
  </r>
  <r>
    <x v="111"/>
    <x v="13"/>
    <n v="43"/>
  </r>
  <r>
    <x v="112"/>
    <x v="13"/>
    <n v="24"/>
  </r>
  <r>
    <x v="113"/>
    <x v="13"/>
    <n v="24"/>
  </r>
  <r>
    <x v="114"/>
    <x v="13"/>
    <n v="30"/>
  </r>
  <r>
    <x v="115"/>
    <x v="13"/>
    <n v="46"/>
  </r>
  <r>
    <x v="116"/>
    <x v="13"/>
    <n v="34"/>
  </r>
  <r>
    <x v="117"/>
    <x v="13"/>
    <n v="46"/>
  </r>
  <r>
    <x v="118"/>
    <x v="13"/>
    <n v="64"/>
  </r>
  <r>
    <x v="119"/>
    <x v="13"/>
    <n v="43"/>
  </r>
  <r>
    <x v="120"/>
    <x v="13"/>
    <n v="44"/>
  </r>
  <r>
    <x v="121"/>
    <x v="13"/>
    <n v="53"/>
  </r>
  <r>
    <x v="122"/>
    <x v="13"/>
    <n v="64"/>
  </r>
  <r>
    <x v="123"/>
    <x v="13"/>
    <n v="59"/>
  </r>
  <r>
    <x v="124"/>
    <x v="13"/>
    <n v="57"/>
  </r>
  <r>
    <x v="125"/>
    <x v="13"/>
    <n v="68"/>
  </r>
  <r>
    <x v="126"/>
    <x v="13"/>
    <n v="63"/>
  </r>
  <r>
    <x v="127"/>
    <x v="13"/>
    <n v="69"/>
  </r>
  <r>
    <x v="128"/>
    <x v="13"/>
    <n v="53"/>
  </r>
  <r>
    <x v="129"/>
    <x v="13"/>
    <n v="64"/>
  </r>
  <r>
    <x v="130"/>
    <x v="13"/>
    <n v="73"/>
  </r>
  <r>
    <x v="131"/>
    <x v="13"/>
    <n v="60"/>
  </r>
  <r>
    <x v="132"/>
    <x v="13"/>
    <n v="63"/>
  </r>
  <r>
    <x v="133"/>
    <x v="13"/>
    <n v="64"/>
  </r>
  <r>
    <x v="134"/>
    <x v="13"/>
    <n v="74"/>
  </r>
  <r>
    <x v="135"/>
    <x v="13"/>
    <m/>
  </r>
  <r>
    <x v="0"/>
    <x v="14"/>
    <m/>
  </r>
  <r>
    <x v="1"/>
    <x v="14"/>
    <n v="-13"/>
  </r>
  <r>
    <x v="2"/>
    <x v="14"/>
    <n v="2"/>
  </r>
  <r>
    <x v="3"/>
    <x v="14"/>
    <n v="-32"/>
  </r>
  <r>
    <x v="4"/>
    <x v="14"/>
    <n v="-15"/>
  </r>
  <r>
    <x v="5"/>
    <x v="14"/>
    <n v="-41"/>
  </r>
  <r>
    <x v="6"/>
    <x v="14"/>
    <n v="-30"/>
  </r>
  <r>
    <x v="7"/>
    <x v="14"/>
    <n v="-46"/>
  </r>
  <r>
    <x v="8"/>
    <x v="14"/>
    <n v="-40"/>
  </r>
  <r>
    <x v="9"/>
    <x v="14"/>
    <n v="-5"/>
  </r>
  <r>
    <x v="10"/>
    <x v="14"/>
    <n v="-41"/>
  </r>
  <r>
    <x v="11"/>
    <x v="14"/>
    <n v="-41"/>
  </r>
  <r>
    <x v="12"/>
    <x v="14"/>
    <n v="-12"/>
  </r>
  <r>
    <x v="13"/>
    <x v="14"/>
    <n v="-48"/>
  </r>
  <r>
    <x v="14"/>
    <x v="14"/>
    <n v="-40"/>
  </r>
  <r>
    <x v="15"/>
    <x v="14"/>
    <n v="-35"/>
  </r>
  <r>
    <x v="16"/>
    <x v="14"/>
    <n v="-16"/>
  </r>
  <r>
    <x v="17"/>
    <x v="14"/>
    <n v="-17"/>
  </r>
  <r>
    <x v="18"/>
    <x v="14"/>
    <n v="-22"/>
  </r>
  <r>
    <x v="19"/>
    <x v="14"/>
    <n v="-26"/>
  </r>
  <r>
    <x v="20"/>
    <x v="14"/>
    <n v="-24"/>
  </r>
  <r>
    <x v="21"/>
    <x v="14"/>
    <n v="-15"/>
  </r>
  <r>
    <x v="22"/>
    <x v="14"/>
    <n v="-16"/>
  </r>
  <r>
    <x v="23"/>
    <x v="14"/>
    <n v="-25"/>
  </r>
  <r>
    <x v="24"/>
    <x v="14"/>
    <n v="-54"/>
  </r>
  <r>
    <x v="25"/>
    <x v="14"/>
    <n v="-41"/>
  </r>
  <r>
    <x v="26"/>
    <x v="14"/>
    <n v="-27"/>
  </r>
  <r>
    <x v="27"/>
    <x v="14"/>
    <n v="-36"/>
  </r>
  <r>
    <x v="28"/>
    <x v="14"/>
    <n v="-43"/>
  </r>
  <r>
    <x v="29"/>
    <x v="14"/>
    <n v="-55"/>
  </r>
  <r>
    <x v="30"/>
    <x v="14"/>
    <n v="-47"/>
  </r>
  <r>
    <x v="31"/>
    <x v="14"/>
    <n v="-63"/>
  </r>
  <r>
    <x v="32"/>
    <x v="14"/>
    <n v="-22"/>
  </r>
  <r>
    <x v="33"/>
    <x v="14"/>
    <n v="-41"/>
  </r>
  <r>
    <x v="34"/>
    <x v="14"/>
    <n v="-5"/>
  </r>
  <r>
    <x v="35"/>
    <x v="14"/>
    <n v="-10"/>
  </r>
  <r>
    <x v="36"/>
    <x v="14"/>
    <n v="-21"/>
  </r>
  <r>
    <x v="37"/>
    <x v="14"/>
    <n v="-59"/>
  </r>
  <r>
    <x v="38"/>
    <x v="14"/>
    <n v="-48"/>
  </r>
  <r>
    <x v="39"/>
    <x v="14"/>
    <n v="-21"/>
  </r>
  <r>
    <x v="40"/>
    <x v="14"/>
    <n v="-23"/>
  </r>
  <r>
    <x v="41"/>
    <x v="14"/>
    <n v="-22"/>
  </r>
  <r>
    <x v="42"/>
    <x v="14"/>
    <n v="-29"/>
  </r>
  <r>
    <x v="43"/>
    <x v="14"/>
    <n v="-25"/>
  </r>
  <r>
    <x v="44"/>
    <x v="14"/>
    <n v="-16"/>
  </r>
  <r>
    <x v="45"/>
    <x v="14"/>
    <n v="-35"/>
  </r>
  <r>
    <x v="46"/>
    <x v="14"/>
    <n v="14"/>
  </r>
  <r>
    <x v="47"/>
    <x v="14"/>
    <n v="-25"/>
  </r>
  <r>
    <x v="48"/>
    <x v="14"/>
    <n v="-16"/>
  </r>
  <r>
    <x v="49"/>
    <x v="14"/>
    <n v="-41"/>
  </r>
  <r>
    <x v="50"/>
    <x v="14"/>
    <n v="-35"/>
  </r>
  <r>
    <x v="51"/>
    <x v="14"/>
    <n v="-12"/>
  </r>
  <r>
    <x v="52"/>
    <x v="14"/>
    <n v="-4"/>
  </r>
  <r>
    <x v="53"/>
    <x v="14"/>
    <n v="-27"/>
  </r>
  <r>
    <x v="54"/>
    <x v="14"/>
    <n v="-25"/>
  </r>
  <r>
    <x v="55"/>
    <x v="14"/>
    <n v="-11"/>
  </r>
  <r>
    <x v="56"/>
    <x v="14"/>
    <n v="-29"/>
  </r>
  <r>
    <x v="57"/>
    <x v="14"/>
    <n v="-1"/>
  </r>
  <r>
    <x v="58"/>
    <x v="14"/>
    <n v="-3"/>
  </r>
  <r>
    <x v="59"/>
    <x v="14"/>
    <n v="-15"/>
  </r>
  <r>
    <x v="60"/>
    <x v="14"/>
    <n v="11"/>
  </r>
  <r>
    <x v="61"/>
    <x v="14"/>
    <n v="19"/>
  </r>
  <r>
    <x v="62"/>
    <x v="14"/>
    <n v="17"/>
  </r>
  <r>
    <x v="63"/>
    <x v="14"/>
    <n v="12"/>
  </r>
  <r>
    <x v="64"/>
    <x v="14"/>
    <n v="34"/>
  </r>
  <r>
    <x v="65"/>
    <x v="14"/>
    <n v="10"/>
  </r>
  <r>
    <x v="66"/>
    <x v="14"/>
    <n v="5"/>
  </r>
  <r>
    <x v="67"/>
    <x v="14"/>
    <n v="-13"/>
  </r>
  <r>
    <x v="68"/>
    <x v="14"/>
    <n v="-7"/>
  </r>
  <r>
    <x v="69"/>
    <x v="14"/>
    <n v="-9"/>
  </r>
  <r>
    <x v="70"/>
    <x v="14"/>
    <n v="-23"/>
  </r>
  <r>
    <x v="71"/>
    <x v="14"/>
    <n v="-32"/>
  </r>
  <r>
    <x v="72"/>
    <x v="14"/>
    <n v="15"/>
  </r>
  <r>
    <x v="73"/>
    <x v="14"/>
    <n v="8"/>
  </r>
  <r>
    <x v="74"/>
    <x v="14"/>
    <n v="-11"/>
  </r>
  <r>
    <x v="75"/>
    <x v="14"/>
    <n v="-8"/>
  </r>
  <r>
    <x v="76"/>
    <x v="14"/>
    <n v="-24"/>
  </r>
  <r>
    <x v="77"/>
    <x v="14"/>
    <n v="-9"/>
  </r>
  <r>
    <x v="78"/>
    <x v="14"/>
    <n v="25"/>
  </r>
  <r>
    <x v="79"/>
    <x v="14"/>
    <n v="5"/>
  </r>
  <r>
    <x v="80"/>
    <x v="14"/>
    <n v="3"/>
  </r>
  <r>
    <x v="81"/>
    <x v="14"/>
    <n v="15"/>
  </r>
  <r>
    <x v="82"/>
    <x v="14"/>
    <n v="2"/>
  </r>
  <r>
    <x v="83"/>
    <x v="14"/>
    <n v="5"/>
  </r>
  <r>
    <x v="84"/>
    <x v="14"/>
    <n v="-6"/>
  </r>
  <r>
    <x v="85"/>
    <x v="14"/>
    <n v="-19"/>
  </r>
  <r>
    <x v="86"/>
    <x v="14"/>
    <n v="-8"/>
  </r>
  <r>
    <x v="87"/>
    <x v="14"/>
    <n v="-11"/>
  </r>
  <r>
    <x v="88"/>
    <x v="14"/>
    <n v="-13"/>
  </r>
  <r>
    <x v="89"/>
    <x v="14"/>
    <n v="-13"/>
  </r>
  <r>
    <x v="90"/>
    <x v="14"/>
    <n v="20"/>
  </r>
  <r>
    <x v="91"/>
    <x v="14"/>
    <n v="-13"/>
  </r>
  <r>
    <x v="92"/>
    <x v="14"/>
    <n v="-17"/>
  </r>
  <r>
    <x v="93"/>
    <x v="14"/>
    <n v="25"/>
  </r>
  <r>
    <x v="94"/>
    <x v="14"/>
    <n v="-16"/>
  </r>
  <r>
    <x v="95"/>
    <x v="14"/>
    <n v="1"/>
  </r>
  <r>
    <x v="96"/>
    <x v="14"/>
    <n v="-8"/>
  </r>
  <r>
    <x v="97"/>
    <x v="14"/>
    <n v="15"/>
  </r>
  <r>
    <x v="98"/>
    <x v="14"/>
    <n v="9"/>
  </r>
  <r>
    <x v="99"/>
    <x v="14"/>
    <n v="6"/>
  </r>
  <r>
    <x v="100"/>
    <x v="14"/>
    <n v="40"/>
  </r>
  <r>
    <x v="101"/>
    <x v="14"/>
    <n v="39"/>
  </r>
  <r>
    <x v="102"/>
    <x v="14"/>
    <n v="22"/>
  </r>
  <r>
    <x v="103"/>
    <x v="14"/>
    <n v="45"/>
  </r>
  <r>
    <x v="104"/>
    <x v="14"/>
    <n v="22"/>
  </r>
  <r>
    <x v="105"/>
    <x v="14"/>
    <n v="4"/>
  </r>
  <r>
    <x v="106"/>
    <x v="14"/>
    <n v="28"/>
  </r>
  <r>
    <x v="107"/>
    <x v="14"/>
    <n v="33"/>
  </r>
  <r>
    <x v="108"/>
    <x v="14"/>
    <n v="49"/>
  </r>
  <r>
    <x v="109"/>
    <x v="14"/>
    <n v="28"/>
  </r>
  <r>
    <x v="110"/>
    <x v="14"/>
    <n v="39"/>
  </r>
  <r>
    <x v="111"/>
    <x v="14"/>
    <n v="44"/>
  </r>
  <r>
    <x v="112"/>
    <x v="14"/>
    <n v="40"/>
  </r>
  <r>
    <x v="113"/>
    <x v="14"/>
    <n v="33"/>
  </r>
  <r>
    <x v="114"/>
    <x v="14"/>
    <n v="18"/>
  </r>
  <r>
    <x v="115"/>
    <x v="14"/>
    <n v="55"/>
  </r>
  <r>
    <x v="116"/>
    <x v="14"/>
    <n v="35"/>
  </r>
  <r>
    <x v="117"/>
    <x v="14"/>
    <n v="37"/>
  </r>
  <r>
    <x v="118"/>
    <x v="14"/>
    <n v="70"/>
  </r>
  <r>
    <x v="119"/>
    <x v="14"/>
    <n v="58"/>
  </r>
  <r>
    <x v="120"/>
    <x v="14"/>
    <n v="44"/>
  </r>
  <r>
    <x v="121"/>
    <x v="14"/>
    <n v="41"/>
  </r>
  <r>
    <x v="122"/>
    <x v="14"/>
    <n v="68"/>
  </r>
  <r>
    <x v="123"/>
    <x v="14"/>
    <n v="57"/>
  </r>
  <r>
    <x v="124"/>
    <x v="14"/>
    <n v="67"/>
  </r>
  <r>
    <x v="125"/>
    <x v="14"/>
    <n v="61"/>
  </r>
  <r>
    <x v="126"/>
    <x v="14"/>
    <n v="65"/>
  </r>
  <r>
    <x v="127"/>
    <x v="14"/>
    <n v="82"/>
  </r>
  <r>
    <x v="128"/>
    <x v="14"/>
    <n v="37"/>
  </r>
  <r>
    <x v="129"/>
    <x v="14"/>
    <n v="57"/>
  </r>
  <r>
    <x v="130"/>
    <x v="14"/>
    <n v="72"/>
  </r>
  <r>
    <x v="131"/>
    <x v="14"/>
    <n v="50"/>
  </r>
  <r>
    <x v="132"/>
    <x v="14"/>
    <n v="49"/>
  </r>
  <r>
    <x v="133"/>
    <x v="14"/>
    <n v="58"/>
  </r>
  <r>
    <x v="134"/>
    <x v="14"/>
    <n v="64"/>
  </r>
  <r>
    <x v="135"/>
    <x v="14"/>
    <n v="83"/>
  </r>
  <r>
    <x v="0"/>
    <x v="15"/>
    <n v="-19"/>
  </r>
  <r>
    <x v="1"/>
    <x v="15"/>
    <n v="-1"/>
  </r>
  <r>
    <x v="2"/>
    <x v="15"/>
    <n v="-11"/>
  </r>
  <r>
    <x v="3"/>
    <x v="15"/>
    <n v="-22"/>
  </r>
  <r>
    <x v="4"/>
    <x v="15"/>
    <n v="-33"/>
  </r>
  <r>
    <x v="5"/>
    <x v="15"/>
    <n v="-36"/>
  </r>
  <r>
    <x v="6"/>
    <x v="15"/>
    <n v="-32"/>
  </r>
  <r>
    <x v="7"/>
    <x v="15"/>
    <n v="-33"/>
  </r>
  <r>
    <x v="8"/>
    <x v="15"/>
    <n v="-32"/>
  </r>
  <r>
    <x v="9"/>
    <x v="15"/>
    <n v="2"/>
  </r>
  <r>
    <x v="10"/>
    <x v="15"/>
    <n v="-42"/>
  </r>
  <r>
    <x v="11"/>
    <x v="15"/>
    <n v="-19"/>
  </r>
  <r>
    <x v="12"/>
    <x v="15"/>
    <n v="-31"/>
  </r>
  <r>
    <x v="13"/>
    <x v="15"/>
    <n v="-30"/>
  </r>
  <r>
    <x v="14"/>
    <x v="15"/>
    <n v="-30"/>
  </r>
  <r>
    <x v="15"/>
    <x v="15"/>
    <n v="-24"/>
  </r>
  <r>
    <x v="16"/>
    <x v="15"/>
    <n v="-27"/>
  </r>
  <r>
    <x v="17"/>
    <x v="15"/>
    <n v="-5"/>
  </r>
  <r>
    <x v="18"/>
    <x v="15"/>
    <n v="-42"/>
  </r>
  <r>
    <x v="19"/>
    <x v="15"/>
    <n v="-25"/>
  </r>
  <r>
    <x v="20"/>
    <x v="15"/>
    <n v="-5"/>
  </r>
  <r>
    <x v="21"/>
    <x v="15"/>
    <n v="-5"/>
  </r>
  <r>
    <x v="22"/>
    <x v="15"/>
    <n v="-28"/>
  </r>
  <r>
    <x v="23"/>
    <x v="15"/>
    <n v="-34"/>
  </r>
  <r>
    <x v="24"/>
    <x v="15"/>
    <n v="-48"/>
  </r>
  <r>
    <x v="25"/>
    <x v="15"/>
    <n v="-31"/>
  </r>
  <r>
    <x v="26"/>
    <x v="15"/>
    <n v="-12"/>
  </r>
  <r>
    <x v="27"/>
    <x v="15"/>
    <n v="-36"/>
  </r>
  <r>
    <x v="28"/>
    <x v="15"/>
    <n v="-47"/>
  </r>
  <r>
    <x v="29"/>
    <x v="15"/>
    <n v="-55"/>
  </r>
  <r>
    <x v="30"/>
    <x v="15"/>
    <n v="-39"/>
  </r>
  <r>
    <x v="31"/>
    <x v="15"/>
    <n v="-56"/>
  </r>
  <r>
    <x v="32"/>
    <x v="15"/>
    <n v="-26"/>
  </r>
  <r>
    <x v="33"/>
    <x v="15"/>
    <n v="-41"/>
  </r>
  <r>
    <x v="34"/>
    <x v="15"/>
    <n v="-23"/>
  </r>
  <r>
    <x v="35"/>
    <x v="15"/>
    <n v="-1"/>
  </r>
  <r>
    <x v="36"/>
    <x v="15"/>
    <n v="-26"/>
  </r>
  <r>
    <x v="37"/>
    <x v="15"/>
    <n v="-45"/>
  </r>
  <r>
    <x v="38"/>
    <x v="15"/>
    <n v="-31"/>
  </r>
  <r>
    <x v="39"/>
    <x v="15"/>
    <n v="-20"/>
  </r>
  <r>
    <x v="40"/>
    <x v="15"/>
    <n v="-18"/>
  </r>
  <r>
    <x v="41"/>
    <x v="15"/>
    <n v="-32"/>
  </r>
  <r>
    <x v="42"/>
    <x v="15"/>
    <n v="-21"/>
  </r>
  <r>
    <x v="43"/>
    <x v="15"/>
    <n v="-33"/>
  </r>
  <r>
    <x v="44"/>
    <x v="15"/>
    <n v="-20"/>
  </r>
  <r>
    <x v="45"/>
    <x v="15"/>
    <n v="-25"/>
  </r>
  <r>
    <x v="46"/>
    <x v="15"/>
    <n v="-8"/>
  </r>
  <r>
    <x v="47"/>
    <x v="15"/>
    <n v="-31"/>
  </r>
  <r>
    <x v="48"/>
    <x v="15"/>
    <n v="-28"/>
  </r>
  <r>
    <x v="49"/>
    <x v="15"/>
    <n v="-38"/>
  </r>
  <r>
    <x v="50"/>
    <x v="15"/>
    <n v="-19"/>
  </r>
  <r>
    <x v="51"/>
    <x v="15"/>
    <n v="-16"/>
  </r>
  <r>
    <x v="52"/>
    <x v="15"/>
    <n v="-16"/>
  </r>
  <r>
    <x v="53"/>
    <x v="15"/>
    <n v="-25"/>
  </r>
  <r>
    <x v="54"/>
    <x v="15"/>
    <n v="-22"/>
  </r>
  <r>
    <x v="55"/>
    <x v="15"/>
    <n v="-24"/>
  </r>
  <r>
    <x v="56"/>
    <x v="15"/>
    <n v="-20"/>
  </r>
  <r>
    <x v="57"/>
    <x v="15"/>
    <n v="-13"/>
  </r>
  <r>
    <x v="58"/>
    <x v="15"/>
    <n v="2"/>
  </r>
  <r>
    <x v="59"/>
    <x v="15"/>
    <n v="-13"/>
  </r>
  <r>
    <x v="60"/>
    <x v="15"/>
    <n v="11"/>
  </r>
  <r>
    <x v="61"/>
    <x v="15"/>
    <n v="9"/>
  </r>
  <r>
    <x v="62"/>
    <x v="15"/>
    <n v="13"/>
  </r>
  <r>
    <x v="63"/>
    <x v="15"/>
    <n v="9"/>
  </r>
  <r>
    <x v="64"/>
    <x v="15"/>
    <n v="30"/>
  </r>
  <r>
    <x v="65"/>
    <x v="15"/>
    <n v="16"/>
  </r>
  <r>
    <x v="66"/>
    <x v="15"/>
    <n v="3"/>
  </r>
  <r>
    <x v="67"/>
    <x v="15"/>
    <n v="2"/>
  </r>
  <r>
    <x v="68"/>
    <x v="15"/>
    <n v="-9"/>
  </r>
  <r>
    <x v="69"/>
    <x v="15"/>
    <n v="-6"/>
  </r>
  <r>
    <x v="70"/>
    <x v="15"/>
    <n v="-14"/>
  </r>
  <r>
    <x v="71"/>
    <x v="15"/>
    <n v="-10"/>
  </r>
  <r>
    <x v="72"/>
    <x v="15"/>
    <n v="-4"/>
  </r>
  <r>
    <x v="73"/>
    <x v="15"/>
    <n v="13"/>
  </r>
  <r>
    <x v="74"/>
    <x v="15"/>
    <n v="-16"/>
  </r>
  <r>
    <x v="75"/>
    <x v="15"/>
    <n v="-26"/>
  </r>
  <r>
    <x v="76"/>
    <x v="15"/>
    <n v="-25"/>
  </r>
  <r>
    <x v="77"/>
    <x v="15"/>
    <n v="0"/>
  </r>
  <r>
    <x v="78"/>
    <x v="15"/>
    <n v="6"/>
  </r>
  <r>
    <x v="79"/>
    <x v="15"/>
    <n v="14"/>
  </r>
  <r>
    <x v="80"/>
    <x v="15"/>
    <n v="-20"/>
  </r>
  <r>
    <x v="81"/>
    <x v="15"/>
    <n v="13"/>
  </r>
  <r>
    <x v="82"/>
    <x v="15"/>
    <n v="3"/>
  </r>
  <r>
    <x v="83"/>
    <x v="15"/>
    <n v="-10"/>
  </r>
  <r>
    <x v="84"/>
    <x v="15"/>
    <n v="-27"/>
  </r>
  <r>
    <x v="85"/>
    <x v="15"/>
    <n v="-15"/>
  </r>
  <r>
    <x v="86"/>
    <x v="15"/>
    <n v="-6"/>
  </r>
  <r>
    <x v="87"/>
    <x v="15"/>
    <n v="4"/>
  </r>
  <r>
    <x v="88"/>
    <x v="15"/>
    <n v="2"/>
  </r>
  <r>
    <x v="89"/>
    <x v="15"/>
    <n v="13"/>
  </r>
  <r>
    <x v="90"/>
    <x v="15"/>
    <n v="4"/>
  </r>
  <r>
    <x v="91"/>
    <x v="15"/>
    <n v="-12"/>
  </r>
  <r>
    <x v="92"/>
    <x v="15"/>
    <n v="0"/>
  </r>
  <r>
    <x v="93"/>
    <x v="15"/>
    <n v="25"/>
  </r>
  <r>
    <x v="94"/>
    <x v="15"/>
    <n v="-5"/>
  </r>
  <r>
    <x v="95"/>
    <x v="15"/>
    <n v="12"/>
  </r>
  <r>
    <x v="96"/>
    <x v="15"/>
    <n v="-18"/>
  </r>
  <r>
    <x v="97"/>
    <x v="15"/>
    <n v="27"/>
  </r>
  <r>
    <x v="98"/>
    <x v="15"/>
    <n v="14"/>
  </r>
  <r>
    <x v="99"/>
    <x v="15"/>
    <n v="12"/>
  </r>
  <r>
    <x v="100"/>
    <x v="15"/>
    <n v="32"/>
  </r>
  <r>
    <x v="101"/>
    <x v="15"/>
    <n v="35"/>
  </r>
  <r>
    <x v="102"/>
    <x v="15"/>
    <n v="7"/>
  </r>
  <r>
    <x v="103"/>
    <x v="15"/>
    <n v="36"/>
  </r>
  <r>
    <x v="104"/>
    <x v="15"/>
    <n v="24"/>
  </r>
  <r>
    <x v="105"/>
    <x v="15"/>
    <n v="15"/>
  </r>
  <r>
    <x v="106"/>
    <x v="15"/>
    <n v="27"/>
  </r>
  <r>
    <x v="107"/>
    <x v="15"/>
    <n v="23"/>
  </r>
  <r>
    <x v="108"/>
    <x v="15"/>
    <n v="46"/>
  </r>
  <r>
    <x v="109"/>
    <x v="15"/>
    <n v="29"/>
  </r>
  <r>
    <x v="110"/>
    <x v="15"/>
    <n v="58"/>
  </r>
  <r>
    <x v="111"/>
    <x v="15"/>
    <n v="42"/>
  </r>
  <r>
    <x v="112"/>
    <x v="15"/>
    <n v="34"/>
  </r>
  <r>
    <x v="113"/>
    <x v="15"/>
    <n v="30"/>
  </r>
  <r>
    <x v="114"/>
    <x v="15"/>
    <n v="32"/>
  </r>
  <r>
    <x v="115"/>
    <x v="15"/>
    <n v="40"/>
  </r>
  <r>
    <x v="116"/>
    <x v="15"/>
    <n v="33"/>
  </r>
  <r>
    <x v="117"/>
    <x v="15"/>
    <n v="42"/>
  </r>
  <r>
    <x v="118"/>
    <x v="15"/>
    <n v="65"/>
  </r>
  <r>
    <x v="119"/>
    <x v="15"/>
    <n v="33"/>
  </r>
  <r>
    <x v="120"/>
    <x v="15"/>
    <n v="53"/>
  </r>
  <r>
    <x v="121"/>
    <x v="15"/>
    <n v="57"/>
  </r>
  <r>
    <x v="122"/>
    <x v="15"/>
    <n v="71"/>
  </r>
  <r>
    <x v="123"/>
    <x v="15"/>
    <n v="58"/>
  </r>
  <r>
    <x v="124"/>
    <x v="15"/>
    <n v="57"/>
  </r>
  <r>
    <x v="125"/>
    <x v="15"/>
    <n v="68"/>
  </r>
  <r>
    <x v="126"/>
    <x v="15"/>
    <n v="53"/>
  </r>
  <r>
    <x v="127"/>
    <x v="15"/>
    <n v="71"/>
  </r>
  <r>
    <x v="128"/>
    <x v="15"/>
    <n v="60"/>
  </r>
  <r>
    <x v="129"/>
    <x v="15"/>
    <n v="59"/>
  </r>
  <r>
    <x v="130"/>
    <x v="15"/>
    <n v="85"/>
  </r>
  <r>
    <x v="131"/>
    <x v="15"/>
    <n v="61"/>
  </r>
  <r>
    <x v="132"/>
    <x v="15"/>
    <n v="67"/>
  </r>
  <r>
    <x v="133"/>
    <x v="15"/>
    <n v="60"/>
  </r>
  <r>
    <x v="134"/>
    <x v="15"/>
    <n v="81"/>
  </r>
  <r>
    <x v="135"/>
    <x v="15"/>
    <n v="80"/>
  </r>
  <r>
    <x v="0"/>
    <x v="16"/>
    <n v="-19"/>
  </r>
  <r>
    <x v="1"/>
    <x v="16"/>
    <n v="-11"/>
  </r>
  <r>
    <x v="2"/>
    <x v="16"/>
    <n v="-9"/>
  </r>
  <r>
    <x v="3"/>
    <x v="16"/>
    <n v="-10"/>
  </r>
  <r>
    <x v="4"/>
    <x v="16"/>
    <n v="-32"/>
  </r>
  <r>
    <x v="5"/>
    <x v="16"/>
    <n v="-35"/>
  </r>
  <r>
    <x v="6"/>
    <x v="16"/>
    <n v="-28"/>
  </r>
  <r>
    <x v="7"/>
    <x v="16"/>
    <n v="-21"/>
  </r>
  <r>
    <x v="8"/>
    <x v="16"/>
    <n v="-13"/>
  </r>
  <r>
    <x v="9"/>
    <x v="16"/>
    <n v="-11"/>
  </r>
  <r>
    <x v="10"/>
    <x v="16"/>
    <n v="-30"/>
  </r>
  <r>
    <x v="11"/>
    <x v="16"/>
    <n v="-21"/>
  </r>
  <r>
    <x v="12"/>
    <x v="16"/>
    <n v="-21"/>
  </r>
  <r>
    <x v="13"/>
    <x v="16"/>
    <n v="-19"/>
  </r>
  <r>
    <x v="14"/>
    <x v="16"/>
    <n v="-33"/>
  </r>
  <r>
    <x v="15"/>
    <x v="16"/>
    <n v="-18"/>
  </r>
  <r>
    <x v="16"/>
    <x v="16"/>
    <n v="-9"/>
  </r>
  <r>
    <x v="17"/>
    <x v="16"/>
    <n v="-7"/>
  </r>
  <r>
    <x v="18"/>
    <x v="16"/>
    <n v="-22"/>
  </r>
  <r>
    <x v="19"/>
    <x v="16"/>
    <n v="-14"/>
  </r>
  <r>
    <x v="20"/>
    <x v="16"/>
    <n v="-7"/>
  </r>
  <r>
    <x v="21"/>
    <x v="16"/>
    <n v="-9"/>
  </r>
  <r>
    <x v="22"/>
    <x v="16"/>
    <n v="-28"/>
  </r>
  <r>
    <x v="23"/>
    <x v="16"/>
    <n v="-38"/>
  </r>
  <r>
    <x v="24"/>
    <x v="16"/>
    <n v="-46"/>
  </r>
  <r>
    <x v="25"/>
    <x v="16"/>
    <n v="-24"/>
  </r>
  <r>
    <x v="26"/>
    <x v="16"/>
    <n v="-21"/>
  </r>
  <r>
    <x v="27"/>
    <x v="16"/>
    <n v="-37"/>
  </r>
  <r>
    <x v="28"/>
    <x v="16"/>
    <n v="-38"/>
  </r>
  <r>
    <x v="29"/>
    <x v="16"/>
    <n v="-41"/>
  </r>
  <r>
    <x v="30"/>
    <x v="16"/>
    <n v="-33"/>
  </r>
  <r>
    <x v="31"/>
    <x v="16"/>
    <n v="-43"/>
  </r>
  <r>
    <x v="32"/>
    <x v="16"/>
    <n v="-39"/>
  </r>
  <r>
    <x v="33"/>
    <x v="16"/>
    <n v="-36"/>
  </r>
  <r>
    <x v="34"/>
    <x v="16"/>
    <n v="-19"/>
  </r>
  <r>
    <x v="35"/>
    <x v="16"/>
    <n v="-10"/>
  </r>
  <r>
    <x v="36"/>
    <x v="16"/>
    <n v="-33"/>
  </r>
  <r>
    <x v="37"/>
    <x v="16"/>
    <n v="-28"/>
  </r>
  <r>
    <x v="38"/>
    <x v="16"/>
    <n v="-23"/>
  </r>
  <r>
    <x v="39"/>
    <x v="16"/>
    <n v="-21"/>
  </r>
  <r>
    <x v="40"/>
    <x v="16"/>
    <n v="-29"/>
  </r>
  <r>
    <x v="41"/>
    <x v="16"/>
    <n v="-21"/>
  </r>
  <r>
    <x v="42"/>
    <x v="16"/>
    <n v="-28"/>
  </r>
  <r>
    <x v="43"/>
    <x v="16"/>
    <n v="-26"/>
  </r>
  <r>
    <x v="44"/>
    <x v="16"/>
    <n v="-28"/>
  </r>
  <r>
    <x v="45"/>
    <x v="16"/>
    <n v="-25"/>
  </r>
  <r>
    <x v="46"/>
    <x v="16"/>
    <n v="-17"/>
  </r>
  <r>
    <x v="47"/>
    <x v="16"/>
    <n v="-19"/>
  </r>
  <r>
    <x v="48"/>
    <x v="16"/>
    <n v="-27"/>
  </r>
  <r>
    <x v="49"/>
    <x v="16"/>
    <n v="-34"/>
  </r>
  <r>
    <x v="50"/>
    <x v="16"/>
    <n v="-14"/>
  </r>
  <r>
    <x v="51"/>
    <x v="16"/>
    <n v="-1"/>
  </r>
  <r>
    <x v="52"/>
    <x v="16"/>
    <n v="-25"/>
  </r>
  <r>
    <x v="53"/>
    <x v="16"/>
    <n v="-24"/>
  </r>
  <r>
    <x v="54"/>
    <x v="16"/>
    <n v="-11"/>
  </r>
  <r>
    <x v="55"/>
    <x v="16"/>
    <n v="-19"/>
  </r>
  <r>
    <x v="56"/>
    <x v="16"/>
    <n v="-11"/>
  </r>
  <r>
    <x v="57"/>
    <x v="16"/>
    <n v="-2"/>
  </r>
  <r>
    <x v="58"/>
    <x v="16"/>
    <n v="-9"/>
  </r>
  <r>
    <x v="59"/>
    <x v="16"/>
    <n v="-5"/>
  </r>
  <r>
    <x v="60"/>
    <x v="16"/>
    <n v="6"/>
  </r>
  <r>
    <x v="61"/>
    <x v="16"/>
    <n v="12"/>
  </r>
  <r>
    <x v="62"/>
    <x v="16"/>
    <n v="4"/>
  </r>
  <r>
    <x v="63"/>
    <x v="16"/>
    <n v="7"/>
  </r>
  <r>
    <x v="64"/>
    <x v="16"/>
    <n v="22"/>
  </r>
  <r>
    <x v="65"/>
    <x v="16"/>
    <n v="13"/>
  </r>
  <r>
    <x v="66"/>
    <x v="16"/>
    <n v="-10"/>
  </r>
  <r>
    <x v="67"/>
    <x v="16"/>
    <n v="-4"/>
  </r>
  <r>
    <x v="68"/>
    <x v="16"/>
    <n v="-9"/>
  </r>
  <r>
    <x v="69"/>
    <x v="16"/>
    <n v="-16"/>
  </r>
  <r>
    <x v="70"/>
    <x v="16"/>
    <n v="-12"/>
  </r>
  <r>
    <x v="71"/>
    <x v="16"/>
    <n v="-1"/>
  </r>
  <r>
    <x v="72"/>
    <x v="16"/>
    <n v="3"/>
  </r>
  <r>
    <x v="73"/>
    <x v="16"/>
    <n v="6"/>
  </r>
  <r>
    <x v="74"/>
    <x v="16"/>
    <n v="-14"/>
  </r>
  <r>
    <x v="75"/>
    <x v="16"/>
    <n v="-2"/>
  </r>
  <r>
    <x v="76"/>
    <x v="16"/>
    <n v="-17"/>
  </r>
  <r>
    <x v="77"/>
    <x v="16"/>
    <n v="9"/>
  </r>
  <r>
    <x v="78"/>
    <x v="16"/>
    <n v="-3"/>
  </r>
  <r>
    <x v="79"/>
    <x v="16"/>
    <n v="2"/>
  </r>
  <r>
    <x v="80"/>
    <x v="16"/>
    <n v="-1"/>
  </r>
  <r>
    <x v="81"/>
    <x v="16"/>
    <n v="2"/>
  </r>
  <r>
    <x v="82"/>
    <x v="16"/>
    <n v="0"/>
  </r>
  <r>
    <x v="83"/>
    <x v="16"/>
    <n v="11"/>
  </r>
  <r>
    <x v="84"/>
    <x v="16"/>
    <n v="-13"/>
  </r>
  <r>
    <x v="85"/>
    <x v="16"/>
    <n v="-7"/>
  </r>
  <r>
    <x v="86"/>
    <x v="16"/>
    <n v="0"/>
  </r>
  <r>
    <x v="87"/>
    <x v="16"/>
    <n v="-2"/>
  </r>
  <r>
    <x v="88"/>
    <x v="16"/>
    <n v="-9"/>
  </r>
  <r>
    <x v="89"/>
    <x v="16"/>
    <n v="2"/>
  </r>
  <r>
    <x v="90"/>
    <x v="16"/>
    <n v="-5"/>
  </r>
  <r>
    <x v="91"/>
    <x v="16"/>
    <n v="-11"/>
  </r>
  <r>
    <x v="92"/>
    <x v="16"/>
    <n v="8"/>
  </r>
  <r>
    <x v="93"/>
    <x v="16"/>
    <n v="9"/>
  </r>
  <r>
    <x v="94"/>
    <x v="16"/>
    <n v="1"/>
  </r>
  <r>
    <x v="95"/>
    <x v="16"/>
    <n v="-8"/>
  </r>
  <r>
    <x v="96"/>
    <x v="16"/>
    <n v="-14"/>
  </r>
  <r>
    <x v="97"/>
    <x v="16"/>
    <n v="23"/>
  </r>
  <r>
    <x v="98"/>
    <x v="16"/>
    <n v="-5"/>
  </r>
  <r>
    <x v="99"/>
    <x v="16"/>
    <n v="10"/>
  </r>
  <r>
    <x v="100"/>
    <x v="16"/>
    <n v="24"/>
  </r>
  <r>
    <x v="101"/>
    <x v="16"/>
    <n v="33"/>
  </r>
  <r>
    <x v="102"/>
    <x v="16"/>
    <n v="9"/>
  </r>
  <r>
    <x v="103"/>
    <x v="16"/>
    <n v="22"/>
  </r>
  <r>
    <x v="104"/>
    <x v="16"/>
    <n v="12"/>
  </r>
  <r>
    <x v="105"/>
    <x v="16"/>
    <n v="11"/>
  </r>
  <r>
    <x v="106"/>
    <x v="16"/>
    <n v="13"/>
  </r>
  <r>
    <x v="107"/>
    <x v="16"/>
    <n v="37"/>
  </r>
  <r>
    <x v="108"/>
    <x v="16"/>
    <n v="40"/>
  </r>
  <r>
    <x v="109"/>
    <x v="16"/>
    <n v="27"/>
  </r>
  <r>
    <x v="110"/>
    <x v="16"/>
    <n v="37"/>
  </r>
  <r>
    <x v="111"/>
    <x v="16"/>
    <n v="49"/>
  </r>
  <r>
    <x v="112"/>
    <x v="16"/>
    <n v="16"/>
  </r>
  <r>
    <x v="113"/>
    <x v="16"/>
    <n v="21"/>
  </r>
  <r>
    <x v="114"/>
    <x v="16"/>
    <n v="32"/>
  </r>
  <r>
    <x v="115"/>
    <x v="16"/>
    <n v="47"/>
  </r>
  <r>
    <x v="116"/>
    <x v="16"/>
    <n v="37"/>
  </r>
  <r>
    <x v="117"/>
    <x v="16"/>
    <n v="44"/>
  </r>
  <r>
    <x v="118"/>
    <x v="16"/>
    <n v="72"/>
  </r>
  <r>
    <x v="119"/>
    <x v="16"/>
    <n v="38"/>
  </r>
  <r>
    <x v="120"/>
    <x v="16"/>
    <n v="43"/>
  </r>
  <r>
    <x v="121"/>
    <x v="16"/>
    <n v="55"/>
  </r>
  <r>
    <x v="122"/>
    <x v="16"/>
    <n v="57"/>
  </r>
  <r>
    <x v="123"/>
    <x v="16"/>
    <n v="57"/>
  </r>
  <r>
    <x v="124"/>
    <x v="16"/>
    <n v="38"/>
  </r>
  <r>
    <x v="125"/>
    <x v="16"/>
    <n v="65"/>
  </r>
  <r>
    <x v="126"/>
    <x v="16"/>
    <n v="63"/>
  </r>
  <r>
    <x v="127"/>
    <x v="16"/>
    <n v="61"/>
  </r>
  <r>
    <x v="128"/>
    <x v="16"/>
    <n v="51"/>
  </r>
  <r>
    <x v="129"/>
    <x v="16"/>
    <n v="69"/>
  </r>
  <r>
    <x v="130"/>
    <x v="16"/>
    <n v="63"/>
  </r>
  <r>
    <x v="131"/>
    <x v="16"/>
    <n v="69"/>
  </r>
  <r>
    <x v="132"/>
    <x v="16"/>
    <n v="61"/>
  </r>
  <r>
    <x v="133"/>
    <x v="16"/>
    <n v="63"/>
  </r>
  <r>
    <x v="134"/>
    <x v="16"/>
    <n v="69"/>
  </r>
  <r>
    <x v="135"/>
    <x v="16"/>
    <m/>
  </r>
  <r>
    <x v="0"/>
    <x v="17"/>
    <n v="-16"/>
  </r>
  <r>
    <x v="1"/>
    <x v="17"/>
    <n v="-17"/>
  </r>
  <r>
    <x v="2"/>
    <x v="17"/>
    <n v="-14"/>
  </r>
  <r>
    <x v="3"/>
    <x v="17"/>
    <n v="-16"/>
  </r>
  <r>
    <x v="4"/>
    <x v="17"/>
    <n v="-25"/>
  </r>
  <r>
    <x v="5"/>
    <x v="17"/>
    <n v="-20"/>
  </r>
  <r>
    <x v="6"/>
    <x v="17"/>
    <n v="-23"/>
  </r>
  <r>
    <x v="7"/>
    <x v="17"/>
    <n v="-26"/>
  </r>
  <r>
    <x v="8"/>
    <x v="17"/>
    <n v="-2"/>
  </r>
  <r>
    <x v="9"/>
    <x v="17"/>
    <n v="-23"/>
  </r>
  <r>
    <x v="10"/>
    <x v="17"/>
    <n v="-32"/>
  </r>
  <r>
    <x v="11"/>
    <x v="17"/>
    <n v="-24"/>
  </r>
  <r>
    <x v="12"/>
    <x v="17"/>
    <n v="-29"/>
  </r>
  <r>
    <x v="13"/>
    <x v="17"/>
    <n v="-16"/>
  </r>
  <r>
    <x v="14"/>
    <x v="17"/>
    <n v="-21"/>
  </r>
  <r>
    <x v="15"/>
    <x v="17"/>
    <n v="-9"/>
  </r>
  <r>
    <x v="16"/>
    <x v="17"/>
    <n v="-4"/>
  </r>
  <r>
    <x v="17"/>
    <x v="17"/>
    <n v="-10"/>
  </r>
  <r>
    <x v="18"/>
    <x v="17"/>
    <n v="-29"/>
  </r>
  <r>
    <x v="19"/>
    <x v="17"/>
    <n v="3"/>
  </r>
  <r>
    <x v="20"/>
    <x v="17"/>
    <n v="0"/>
  </r>
  <r>
    <x v="21"/>
    <x v="17"/>
    <n v="-19"/>
  </r>
  <r>
    <x v="22"/>
    <x v="17"/>
    <n v="-27"/>
  </r>
  <r>
    <x v="23"/>
    <x v="17"/>
    <n v="-40"/>
  </r>
  <r>
    <x v="24"/>
    <x v="17"/>
    <n v="-32"/>
  </r>
  <r>
    <x v="25"/>
    <x v="17"/>
    <n v="-14"/>
  </r>
  <r>
    <x v="26"/>
    <x v="17"/>
    <n v="-27"/>
  </r>
  <r>
    <x v="27"/>
    <x v="17"/>
    <n v="-35"/>
  </r>
  <r>
    <x v="28"/>
    <x v="17"/>
    <n v="-41"/>
  </r>
  <r>
    <x v="29"/>
    <x v="17"/>
    <n v="-36"/>
  </r>
  <r>
    <x v="30"/>
    <x v="17"/>
    <n v="-43"/>
  </r>
  <r>
    <x v="31"/>
    <x v="17"/>
    <n v="-28"/>
  </r>
  <r>
    <x v="32"/>
    <x v="17"/>
    <n v="-47"/>
  </r>
  <r>
    <x v="33"/>
    <x v="17"/>
    <n v="-27"/>
  </r>
  <r>
    <x v="34"/>
    <x v="17"/>
    <n v="-12"/>
  </r>
  <r>
    <x v="35"/>
    <x v="17"/>
    <n v="-15"/>
  </r>
  <r>
    <x v="36"/>
    <x v="17"/>
    <n v="-32"/>
  </r>
  <r>
    <x v="37"/>
    <x v="17"/>
    <n v="-26"/>
  </r>
  <r>
    <x v="38"/>
    <x v="17"/>
    <n v="-10"/>
  </r>
  <r>
    <x v="39"/>
    <x v="17"/>
    <n v="-20"/>
  </r>
  <r>
    <x v="40"/>
    <x v="17"/>
    <n v="-25"/>
  </r>
  <r>
    <x v="41"/>
    <x v="17"/>
    <n v="-12"/>
  </r>
  <r>
    <x v="42"/>
    <x v="17"/>
    <n v="-24"/>
  </r>
  <r>
    <x v="43"/>
    <x v="17"/>
    <n v="-11"/>
  </r>
  <r>
    <x v="44"/>
    <x v="17"/>
    <n v="-28"/>
  </r>
  <r>
    <x v="45"/>
    <x v="17"/>
    <n v="-8"/>
  </r>
  <r>
    <x v="46"/>
    <x v="17"/>
    <n v="-8"/>
  </r>
  <r>
    <x v="47"/>
    <x v="17"/>
    <n v="-2"/>
  </r>
  <r>
    <x v="48"/>
    <x v="17"/>
    <n v="-15"/>
  </r>
  <r>
    <x v="49"/>
    <x v="17"/>
    <n v="-17"/>
  </r>
  <r>
    <x v="50"/>
    <x v="17"/>
    <n v="-1"/>
  </r>
  <r>
    <x v="51"/>
    <x v="17"/>
    <n v="-5"/>
  </r>
  <r>
    <x v="52"/>
    <x v="17"/>
    <n v="-16"/>
  </r>
  <r>
    <x v="53"/>
    <x v="17"/>
    <n v="-27"/>
  </r>
  <r>
    <x v="54"/>
    <x v="17"/>
    <n v="-8"/>
  </r>
  <r>
    <x v="55"/>
    <x v="17"/>
    <n v="-17"/>
  </r>
  <r>
    <x v="56"/>
    <x v="17"/>
    <n v="-3"/>
  </r>
  <r>
    <x v="57"/>
    <x v="17"/>
    <n v="12"/>
  </r>
  <r>
    <x v="58"/>
    <x v="17"/>
    <n v="6"/>
  </r>
  <r>
    <x v="59"/>
    <x v="17"/>
    <n v="2"/>
  </r>
  <r>
    <x v="60"/>
    <x v="17"/>
    <n v="11"/>
  </r>
  <r>
    <x v="61"/>
    <x v="17"/>
    <n v="14"/>
  </r>
  <r>
    <x v="62"/>
    <x v="17"/>
    <n v="7"/>
  </r>
  <r>
    <x v="63"/>
    <x v="17"/>
    <n v="23"/>
  </r>
  <r>
    <x v="64"/>
    <x v="17"/>
    <n v="24"/>
  </r>
  <r>
    <x v="65"/>
    <x v="17"/>
    <n v="18"/>
  </r>
  <r>
    <x v="66"/>
    <x v="17"/>
    <n v="-3"/>
  </r>
  <r>
    <x v="67"/>
    <x v="17"/>
    <n v="-2"/>
  </r>
  <r>
    <x v="68"/>
    <x v="17"/>
    <n v="-9"/>
  </r>
  <r>
    <x v="69"/>
    <x v="17"/>
    <n v="-7"/>
  </r>
  <r>
    <x v="70"/>
    <x v="17"/>
    <n v="-21"/>
  </r>
  <r>
    <x v="71"/>
    <x v="17"/>
    <n v="5"/>
  </r>
  <r>
    <x v="72"/>
    <x v="17"/>
    <n v="-4"/>
  </r>
  <r>
    <x v="73"/>
    <x v="17"/>
    <n v="2"/>
  </r>
  <r>
    <x v="74"/>
    <x v="17"/>
    <n v="1"/>
  </r>
  <r>
    <x v="75"/>
    <x v="17"/>
    <n v="-15"/>
  </r>
  <r>
    <x v="76"/>
    <x v="17"/>
    <n v="-19"/>
  </r>
  <r>
    <x v="77"/>
    <x v="17"/>
    <n v="5"/>
  </r>
  <r>
    <x v="78"/>
    <x v="17"/>
    <n v="0"/>
  </r>
  <r>
    <x v="79"/>
    <x v="17"/>
    <n v="-8"/>
  </r>
  <r>
    <x v="80"/>
    <x v="17"/>
    <n v="0"/>
  </r>
  <r>
    <x v="81"/>
    <x v="17"/>
    <n v="2"/>
  </r>
  <r>
    <x v="82"/>
    <x v="17"/>
    <n v="0"/>
  </r>
  <r>
    <x v="83"/>
    <x v="17"/>
    <n v="17"/>
  </r>
  <r>
    <x v="84"/>
    <x v="17"/>
    <n v="-26"/>
  </r>
  <r>
    <x v="85"/>
    <x v="17"/>
    <n v="-7"/>
  </r>
  <r>
    <x v="86"/>
    <x v="17"/>
    <n v="-6"/>
  </r>
  <r>
    <x v="87"/>
    <x v="17"/>
    <n v="-1"/>
  </r>
  <r>
    <x v="88"/>
    <x v="17"/>
    <n v="-4"/>
  </r>
  <r>
    <x v="89"/>
    <x v="17"/>
    <n v="10"/>
  </r>
  <r>
    <x v="90"/>
    <x v="17"/>
    <n v="6"/>
  </r>
  <r>
    <x v="91"/>
    <x v="17"/>
    <n v="-4"/>
  </r>
  <r>
    <x v="92"/>
    <x v="17"/>
    <n v="4"/>
  </r>
  <r>
    <x v="93"/>
    <x v="17"/>
    <n v="8"/>
  </r>
  <r>
    <x v="94"/>
    <x v="17"/>
    <n v="-9"/>
  </r>
  <r>
    <x v="95"/>
    <x v="17"/>
    <n v="-9"/>
  </r>
  <r>
    <x v="96"/>
    <x v="17"/>
    <n v="-14"/>
  </r>
  <r>
    <x v="97"/>
    <x v="17"/>
    <n v="9"/>
  </r>
  <r>
    <x v="98"/>
    <x v="17"/>
    <n v="8"/>
  </r>
  <r>
    <x v="99"/>
    <x v="17"/>
    <n v="27"/>
  </r>
  <r>
    <x v="100"/>
    <x v="17"/>
    <n v="23"/>
  </r>
  <r>
    <x v="101"/>
    <x v="17"/>
    <n v="18"/>
  </r>
  <r>
    <x v="102"/>
    <x v="17"/>
    <n v="14"/>
  </r>
  <r>
    <x v="103"/>
    <x v="17"/>
    <n v="28"/>
  </r>
  <r>
    <x v="104"/>
    <x v="17"/>
    <n v="13"/>
  </r>
  <r>
    <x v="105"/>
    <x v="17"/>
    <n v="13"/>
  </r>
  <r>
    <x v="106"/>
    <x v="17"/>
    <n v="9"/>
  </r>
  <r>
    <x v="107"/>
    <x v="17"/>
    <n v="33"/>
  </r>
  <r>
    <x v="108"/>
    <x v="17"/>
    <n v="30"/>
  </r>
  <r>
    <x v="109"/>
    <x v="17"/>
    <n v="30"/>
  </r>
  <r>
    <x v="110"/>
    <x v="17"/>
    <n v="39"/>
  </r>
  <r>
    <x v="111"/>
    <x v="17"/>
    <n v="37"/>
  </r>
  <r>
    <x v="112"/>
    <x v="17"/>
    <n v="5"/>
  </r>
  <r>
    <x v="113"/>
    <x v="17"/>
    <n v="14"/>
  </r>
  <r>
    <x v="114"/>
    <x v="17"/>
    <n v="41"/>
  </r>
  <r>
    <x v="115"/>
    <x v="17"/>
    <n v="43"/>
  </r>
  <r>
    <x v="116"/>
    <x v="17"/>
    <n v="29"/>
  </r>
  <r>
    <x v="117"/>
    <x v="17"/>
    <n v="62"/>
  </r>
  <r>
    <x v="118"/>
    <x v="17"/>
    <n v="47"/>
  </r>
  <r>
    <x v="119"/>
    <x v="17"/>
    <n v="42"/>
  </r>
  <r>
    <x v="120"/>
    <x v="17"/>
    <n v="35"/>
  </r>
  <r>
    <x v="121"/>
    <x v="17"/>
    <n v="59"/>
  </r>
  <r>
    <x v="122"/>
    <x v="17"/>
    <n v="60"/>
  </r>
  <r>
    <x v="123"/>
    <x v="17"/>
    <n v="66"/>
  </r>
  <r>
    <x v="124"/>
    <x v="17"/>
    <n v="64"/>
  </r>
  <r>
    <x v="125"/>
    <x v="17"/>
    <n v="77"/>
  </r>
  <r>
    <x v="126"/>
    <x v="17"/>
    <n v="69"/>
  </r>
  <r>
    <x v="127"/>
    <x v="17"/>
    <n v="61"/>
  </r>
  <r>
    <x v="128"/>
    <x v="17"/>
    <n v="66"/>
  </r>
  <r>
    <x v="129"/>
    <x v="17"/>
    <n v="71"/>
  </r>
  <r>
    <x v="130"/>
    <x v="17"/>
    <n v="71"/>
  </r>
  <r>
    <x v="131"/>
    <x v="17"/>
    <n v="60"/>
  </r>
  <r>
    <x v="132"/>
    <x v="17"/>
    <n v="76"/>
  </r>
  <r>
    <x v="133"/>
    <x v="17"/>
    <n v="76"/>
  </r>
  <r>
    <x v="134"/>
    <x v="17"/>
    <n v="81"/>
  </r>
  <r>
    <x v="135"/>
    <x v="17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0">
  <r>
    <x v="0"/>
    <x v="0"/>
    <n v="-19"/>
  </r>
  <r>
    <x v="1"/>
    <x v="0"/>
    <n v="-10"/>
  </r>
  <r>
    <x v="2"/>
    <x v="0"/>
    <n v="-9"/>
  </r>
  <r>
    <x v="3"/>
    <x v="0"/>
    <n v="-19"/>
  </r>
  <r>
    <x v="4"/>
    <x v="0"/>
    <n v="-27"/>
  </r>
  <r>
    <x v="5"/>
    <x v="0"/>
    <n v="-31"/>
  </r>
  <r>
    <x v="6"/>
    <x v="0"/>
    <n v="-30"/>
  </r>
  <r>
    <x v="7"/>
    <x v="0"/>
    <n v="-33"/>
  </r>
  <r>
    <x v="8"/>
    <x v="0"/>
    <n v="-20"/>
  </r>
  <r>
    <x v="9"/>
    <x v="0"/>
    <n v="-11"/>
  </r>
  <r>
    <x v="10"/>
    <x v="0"/>
    <n v="-36"/>
  </r>
  <r>
    <x v="11"/>
    <x v="0"/>
    <n v="-23"/>
  </r>
  <r>
    <x v="12"/>
    <x v="0"/>
    <n v="-26"/>
  </r>
  <r>
    <x v="13"/>
    <x v="0"/>
    <n v="-29"/>
  </r>
  <r>
    <x v="14"/>
    <x v="0"/>
    <n v="-30"/>
  </r>
  <r>
    <x v="15"/>
    <x v="0"/>
    <n v="-21"/>
  </r>
  <r>
    <x v="16"/>
    <x v="0"/>
    <n v="-14"/>
  </r>
  <r>
    <x v="17"/>
    <x v="0"/>
    <n v="-11"/>
  </r>
  <r>
    <x v="18"/>
    <x v="0"/>
    <n v="-28"/>
  </r>
  <r>
    <x v="19"/>
    <x v="0"/>
    <n v="-16"/>
  </r>
  <r>
    <x v="20"/>
    <x v="0"/>
    <n v="-8"/>
  </r>
  <r>
    <x v="21"/>
    <x v="0"/>
    <n v="-13"/>
  </r>
  <r>
    <x v="22"/>
    <x v="0"/>
    <n v="-26"/>
  </r>
  <r>
    <x v="23"/>
    <x v="0"/>
    <n v="-35"/>
  </r>
  <r>
    <x v="24"/>
    <x v="0"/>
    <n v="-44"/>
  </r>
  <r>
    <x v="25"/>
    <x v="0"/>
    <n v="-27"/>
  </r>
  <r>
    <x v="26"/>
    <x v="0"/>
    <n v="-21"/>
  </r>
  <r>
    <x v="27"/>
    <x v="0"/>
    <n v="-39"/>
  </r>
  <r>
    <x v="28"/>
    <x v="0"/>
    <n v="-42"/>
  </r>
  <r>
    <x v="29"/>
    <x v="0"/>
    <n v="-47"/>
  </r>
  <r>
    <x v="30"/>
    <x v="0"/>
    <n v="-42"/>
  </r>
  <r>
    <x v="31"/>
    <x v="0"/>
    <n v="-44"/>
  </r>
  <r>
    <x v="32"/>
    <x v="0"/>
    <n v="-35"/>
  </r>
  <r>
    <x v="33"/>
    <x v="0"/>
    <n v="-33"/>
  </r>
  <r>
    <x v="34"/>
    <x v="0"/>
    <n v="-15"/>
  </r>
  <r>
    <x v="35"/>
    <x v="0"/>
    <n v="-10"/>
  </r>
  <r>
    <x v="36"/>
    <x v="0"/>
    <n v="-33"/>
  </r>
  <r>
    <x v="37"/>
    <x v="0"/>
    <n v="-39"/>
  </r>
  <r>
    <x v="38"/>
    <x v="0"/>
    <n v="-24"/>
  </r>
  <r>
    <x v="39"/>
    <x v="0"/>
    <n v="-21"/>
  </r>
  <r>
    <x v="40"/>
    <x v="0"/>
    <n v="-25"/>
  </r>
  <r>
    <x v="41"/>
    <x v="0"/>
    <n v="-19"/>
  </r>
  <r>
    <x v="42"/>
    <x v="0"/>
    <n v="-26"/>
  </r>
  <r>
    <x v="43"/>
    <x v="0"/>
    <n v="-22"/>
  </r>
  <r>
    <x v="44"/>
    <x v="0"/>
    <n v="-26"/>
  </r>
  <r>
    <x v="45"/>
    <x v="0"/>
    <n v="-19"/>
  </r>
  <r>
    <x v="46"/>
    <x v="0"/>
    <n v="-8"/>
  </r>
  <r>
    <x v="47"/>
    <x v="0"/>
    <n v="-20"/>
  </r>
  <r>
    <x v="48"/>
    <x v="0"/>
    <n v="-20"/>
  </r>
  <r>
    <x v="49"/>
    <x v="0"/>
    <n v="-35"/>
  </r>
  <r>
    <x v="50"/>
    <x v="0"/>
    <n v="-13"/>
  </r>
  <r>
    <x v="51"/>
    <x v="0"/>
    <n v="-9"/>
  </r>
  <r>
    <x v="52"/>
    <x v="0"/>
    <n v="-16"/>
  </r>
  <r>
    <x v="53"/>
    <x v="0"/>
    <n v="-28"/>
  </r>
  <r>
    <x v="54"/>
    <x v="0"/>
    <n v="-13"/>
  </r>
  <r>
    <x v="55"/>
    <x v="0"/>
    <n v="-19"/>
  </r>
  <r>
    <x v="56"/>
    <x v="0"/>
    <n v="-14"/>
  </r>
  <r>
    <x v="57"/>
    <x v="0"/>
    <n v="-1"/>
  </r>
  <r>
    <x v="58"/>
    <x v="0"/>
    <n v="-2"/>
  </r>
  <r>
    <x v="59"/>
    <x v="0"/>
    <n v="-3"/>
  </r>
  <r>
    <x v="60"/>
    <x v="0"/>
    <n v="8"/>
  </r>
  <r>
    <x v="61"/>
    <x v="0"/>
    <n v="13"/>
  </r>
  <r>
    <x v="62"/>
    <x v="0"/>
    <n v="10"/>
  </r>
  <r>
    <x v="63"/>
    <x v="0"/>
    <n v="14"/>
  </r>
  <r>
    <x v="64"/>
    <x v="0"/>
    <n v="26"/>
  </r>
  <r>
    <x v="65"/>
    <x v="0"/>
    <n v="13"/>
  </r>
  <r>
    <x v="66"/>
    <x v="0"/>
    <n v="-3"/>
  </r>
  <r>
    <x v="67"/>
    <x v="0"/>
    <n v="-3"/>
  </r>
  <r>
    <x v="68"/>
    <x v="0"/>
    <n v="-9"/>
  </r>
  <r>
    <x v="69"/>
    <x v="0"/>
    <n v="-9"/>
  </r>
  <r>
    <x v="70"/>
    <x v="0"/>
    <n v="-18"/>
  </r>
  <r>
    <x v="71"/>
    <x v="0"/>
    <n v="-7"/>
  </r>
  <r>
    <x v="72"/>
    <x v="0"/>
    <n v="1"/>
  </r>
  <r>
    <x v="73"/>
    <x v="0"/>
    <n v="8"/>
  </r>
  <r>
    <x v="74"/>
    <x v="0"/>
    <n v="-12"/>
  </r>
  <r>
    <x v="75"/>
    <x v="0"/>
    <n v="-14"/>
  </r>
  <r>
    <x v="76"/>
    <x v="0"/>
    <n v="-20"/>
  </r>
  <r>
    <x v="77"/>
    <x v="0"/>
    <n v="3"/>
  </r>
  <r>
    <x v="78"/>
    <x v="0"/>
    <n v="6"/>
  </r>
  <r>
    <x v="79"/>
    <x v="0"/>
    <n v="3"/>
  </r>
  <r>
    <x v="80"/>
    <x v="0"/>
    <n v="-3"/>
  </r>
  <r>
    <x v="81"/>
    <x v="0"/>
    <n v="5"/>
  </r>
  <r>
    <x v="82"/>
    <x v="0"/>
    <n v="3"/>
  </r>
  <r>
    <x v="83"/>
    <x v="0"/>
    <n v="6"/>
  </r>
  <r>
    <x v="84"/>
    <x v="0"/>
    <n v="-20"/>
  </r>
  <r>
    <x v="85"/>
    <x v="0"/>
    <n v="-10"/>
  </r>
  <r>
    <x v="86"/>
    <x v="0"/>
    <n v="-5"/>
  </r>
  <r>
    <x v="87"/>
    <x v="0"/>
    <n v="-2"/>
  </r>
  <r>
    <x v="88"/>
    <x v="0"/>
    <n v="-7"/>
  </r>
  <r>
    <x v="89"/>
    <x v="0"/>
    <n v="6"/>
  </r>
  <r>
    <x v="90"/>
    <x v="0"/>
    <n v="3"/>
  </r>
  <r>
    <x v="91"/>
    <x v="0"/>
    <n v="-9"/>
  </r>
  <r>
    <x v="92"/>
    <x v="0"/>
    <n v="1"/>
  </r>
  <r>
    <x v="93"/>
    <x v="0"/>
    <n v="15"/>
  </r>
  <r>
    <x v="94"/>
    <x v="0"/>
    <n v="-8"/>
  </r>
  <r>
    <x v="95"/>
    <x v="0"/>
    <n v="-1"/>
  </r>
  <r>
    <x v="96"/>
    <x v="0"/>
    <n v="-11"/>
  </r>
  <r>
    <x v="97"/>
    <x v="0"/>
    <n v="18"/>
  </r>
  <r>
    <x v="98"/>
    <x v="0"/>
    <n v="7"/>
  </r>
  <r>
    <x v="99"/>
    <x v="0"/>
    <n v="17"/>
  </r>
  <r>
    <x v="100"/>
    <x v="0"/>
    <n v="28"/>
  </r>
  <r>
    <x v="101"/>
    <x v="0"/>
    <n v="33"/>
  </r>
  <r>
    <x v="102"/>
    <x v="0"/>
    <n v="13"/>
  </r>
  <r>
    <x v="103"/>
    <x v="0"/>
    <n v="31"/>
  </r>
  <r>
    <x v="104"/>
    <x v="0"/>
    <n v="16"/>
  </r>
  <r>
    <x v="105"/>
    <x v="0"/>
    <n v="12"/>
  </r>
  <r>
    <x v="106"/>
    <x v="0"/>
    <n v="19"/>
  </r>
  <r>
    <x v="107"/>
    <x v="0"/>
    <n v="34"/>
  </r>
  <r>
    <x v="108"/>
    <x v="0"/>
    <n v="40"/>
  </r>
  <r>
    <x v="109"/>
    <x v="0"/>
    <n v="29"/>
  </r>
  <r>
    <x v="110"/>
    <x v="0"/>
    <n v="44"/>
  </r>
  <r>
    <x v="111"/>
    <x v="0"/>
    <n v="42"/>
  </r>
  <r>
    <x v="112"/>
    <x v="0"/>
    <n v="23"/>
  </r>
  <r>
    <x v="113"/>
    <x v="0"/>
    <n v="24"/>
  </r>
  <r>
    <x v="114"/>
    <x v="0"/>
    <n v="32"/>
  </r>
  <r>
    <x v="115"/>
    <x v="0"/>
    <n v="46"/>
  </r>
  <r>
    <x v="116"/>
    <x v="0"/>
    <n v="35"/>
  </r>
  <r>
    <x v="117"/>
    <x v="0"/>
    <n v="48"/>
  </r>
  <r>
    <x v="118"/>
    <x v="0"/>
    <n v="63"/>
  </r>
  <r>
    <x v="119"/>
    <x v="0"/>
    <n v="42"/>
  </r>
  <r>
    <x v="120"/>
    <x v="0"/>
    <n v="42"/>
  </r>
  <r>
    <x v="121"/>
    <x v="0"/>
    <n v="55"/>
  </r>
  <r>
    <x v="122"/>
    <x v="0"/>
    <n v="63"/>
  </r>
  <r>
    <x v="123"/>
    <x v="0"/>
    <n v="62"/>
  </r>
  <r>
    <x v="124"/>
    <x v="0"/>
    <n v="55"/>
  </r>
  <r>
    <x v="125"/>
    <x v="0"/>
    <n v="69"/>
  </r>
  <r>
    <x v="126"/>
    <x v="0"/>
    <n v="64"/>
  </r>
  <r>
    <x v="127"/>
    <x v="0"/>
    <n v="66"/>
  </r>
  <r>
    <x v="128"/>
    <x v="0"/>
    <n v="54"/>
  </r>
  <r>
    <x v="129"/>
    <x v="0"/>
    <n v="65"/>
  </r>
  <r>
    <x v="130"/>
    <x v="0"/>
    <n v="71"/>
  </r>
  <r>
    <x v="131"/>
    <x v="0"/>
    <n v="60"/>
  </r>
  <r>
    <x v="132"/>
    <x v="0"/>
    <n v="63"/>
  </r>
  <r>
    <x v="133"/>
    <x v="0"/>
    <n v="66"/>
  </r>
  <r>
    <x v="134"/>
    <x v="0"/>
    <n v="75"/>
  </r>
  <r>
    <x v="0"/>
    <x v="1"/>
    <n v="-33"/>
  </r>
  <r>
    <x v="1"/>
    <x v="1"/>
    <n v="-18"/>
  </r>
  <r>
    <x v="2"/>
    <x v="1"/>
    <n v="-17"/>
  </r>
  <r>
    <x v="3"/>
    <x v="1"/>
    <n v="-30"/>
  </r>
  <r>
    <x v="4"/>
    <x v="1"/>
    <n v="-42"/>
  </r>
  <r>
    <x v="5"/>
    <x v="1"/>
    <n v="-41"/>
  </r>
  <r>
    <x v="6"/>
    <x v="1"/>
    <n v="-39"/>
  </r>
  <r>
    <x v="7"/>
    <x v="1"/>
    <n v="-37"/>
  </r>
  <r>
    <x v="8"/>
    <x v="1"/>
    <n v="-22"/>
  </r>
  <r>
    <x v="9"/>
    <x v="1"/>
    <n v="-16"/>
  </r>
  <r>
    <x v="10"/>
    <x v="1"/>
    <n v="-40"/>
  </r>
  <r>
    <x v="11"/>
    <x v="1"/>
    <n v="-23"/>
  </r>
  <r>
    <x v="12"/>
    <x v="1"/>
    <n v="-30"/>
  </r>
  <r>
    <x v="13"/>
    <x v="1"/>
    <n v="-39"/>
  </r>
  <r>
    <x v="14"/>
    <x v="1"/>
    <n v="-37"/>
  </r>
  <r>
    <x v="15"/>
    <x v="1"/>
    <n v="-28"/>
  </r>
  <r>
    <x v="16"/>
    <x v="1"/>
    <n v="-20"/>
  </r>
  <r>
    <x v="17"/>
    <x v="1"/>
    <n v="-13"/>
  </r>
  <r>
    <x v="18"/>
    <x v="1"/>
    <n v="-28"/>
  </r>
  <r>
    <x v="19"/>
    <x v="1"/>
    <n v="-17"/>
  </r>
  <r>
    <x v="20"/>
    <x v="1"/>
    <n v="-3"/>
  </r>
  <r>
    <x v="21"/>
    <x v="1"/>
    <n v="-8"/>
  </r>
  <r>
    <x v="22"/>
    <x v="1"/>
    <n v="-29"/>
  </r>
  <r>
    <x v="23"/>
    <x v="1"/>
    <n v="-35"/>
  </r>
  <r>
    <x v="24"/>
    <x v="1"/>
    <n v="-45"/>
  </r>
  <r>
    <x v="25"/>
    <x v="1"/>
    <n v="-28"/>
  </r>
  <r>
    <x v="26"/>
    <x v="1"/>
    <n v="-20"/>
  </r>
  <r>
    <x v="27"/>
    <x v="1"/>
    <n v="-46"/>
  </r>
  <r>
    <x v="28"/>
    <x v="1"/>
    <n v="-45"/>
  </r>
  <r>
    <x v="29"/>
    <x v="1"/>
    <n v="-48"/>
  </r>
  <r>
    <x v="30"/>
    <x v="1"/>
    <n v="-43"/>
  </r>
  <r>
    <x v="31"/>
    <x v="1"/>
    <n v="-41"/>
  </r>
  <r>
    <x v="32"/>
    <x v="1"/>
    <n v="-47"/>
  </r>
  <r>
    <x v="33"/>
    <x v="1"/>
    <n v="-42"/>
  </r>
  <r>
    <x v="34"/>
    <x v="1"/>
    <n v="-18"/>
  </r>
  <r>
    <x v="35"/>
    <x v="1"/>
    <n v="-9"/>
  </r>
  <r>
    <x v="36"/>
    <x v="1"/>
    <n v="-35"/>
  </r>
  <r>
    <x v="37"/>
    <x v="1"/>
    <n v="-52"/>
  </r>
  <r>
    <x v="38"/>
    <x v="1"/>
    <n v="-32"/>
  </r>
  <r>
    <x v="39"/>
    <x v="1"/>
    <n v="-32"/>
  </r>
  <r>
    <x v="40"/>
    <x v="1"/>
    <n v="-26"/>
  </r>
  <r>
    <x v="41"/>
    <x v="1"/>
    <n v="-8"/>
  </r>
  <r>
    <x v="42"/>
    <x v="1"/>
    <n v="-25"/>
  </r>
  <r>
    <x v="43"/>
    <x v="1"/>
    <n v="-18"/>
  </r>
  <r>
    <x v="44"/>
    <x v="1"/>
    <n v="-15"/>
  </r>
  <r>
    <x v="45"/>
    <x v="1"/>
    <n v="-7"/>
  </r>
  <r>
    <x v="46"/>
    <x v="1"/>
    <n v="4"/>
  </r>
  <r>
    <x v="47"/>
    <x v="1"/>
    <n v="-10"/>
  </r>
  <r>
    <x v="48"/>
    <x v="1"/>
    <n v="-7"/>
  </r>
  <r>
    <x v="49"/>
    <x v="1"/>
    <n v="-30"/>
  </r>
  <r>
    <x v="50"/>
    <x v="1"/>
    <n v="2"/>
  </r>
  <r>
    <x v="51"/>
    <x v="1"/>
    <n v="5"/>
  </r>
  <r>
    <x v="52"/>
    <x v="1"/>
    <n v="-3"/>
  </r>
  <r>
    <x v="53"/>
    <x v="1"/>
    <n v="-24"/>
  </r>
  <r>
    <x v="54"/>
    <x v="1"/>
    <n v="1"/>
  </r>
  <r>
    <x v="55"/>
    <x v="1"/>
    <n v="-8"/>
  </r>
  <r>
    <x v="56"/>
    <x v="1"/>
    <n v="-3"/>
  </r>
  <r>
    <x v="57"/>
    <x v="1"/>
    <n v="13"/>
  </r>
  <r>
    <x v="58"/>
    <x v="1"/>
    <n v="14"/>
  </r>
  <r>
    <x v="59"/>
    <x v="1"/>
    <n v="7"/>
  </r>
  <r>
    <x v="60"/>
    <x v="1"/>
    <n v="14"/>
  </r>
  <r>
    <x v="61"/>
    <x v="1"/>
    <n v="16"/>
  </r>
  <r>
    <x v="62"/>
    <x v="1"/>
    <n v="14"/>
  </r>
  <r>
    <x v="63"/>
    <x v="1"/>
    <n v="21"/>
  </r>
  <r>
    <x v="64"/>
    <x v="1"/>
    <n v="28"/>
  </r>
  <r>
    <x v="65"/>
    <x v="1"/>
    <n v="9"/>
  </r>
  <r>
    <x v="66"/>
    <x v="1"/>
    <n v="7"/>
  </r>
  <r>
    <x v="67"/>
    <x v="1"/>
    <n v="5"/>
  </r>
  <r>
    <x v="68"/>
    <x v="1"/>
    <n v="0"/>
  </r>
  <r>
    <x v="69"/>
    <x v="1"/>
    <n v="-2"/>
  </r>
  <r>
    <x v="70"/>
    <x v="1"/>
    <n v="-16"/>
  </r>
  <r>
    <x v="71"/>
    <x v="1"/>
    <n v="5"/>
  </r>
  <r>
    <x v="72"/>
    <x v="1"/>
    <n v="5"/>
  </r>
  <r>
    <x v="73"/>
    <x v="1"/>
    <n v="22"/>
  </r>
  <r>
    <x v="74"/>
    <x v="1"/>
    <n v="-4"/>
  </r>
  <r>
    <x v="75"/>
    <x v="1"/>
    <n v="-9"/>
  </r>
  <r>
    <x v="76"/>
    <x v="1"/>
    <n v="-25"/>
  </r>
  <r>
    <x v="77"/>
    <x v="1"/>
    <n v="4"/>
  </r>
  <r>
    <x v="78"/>
    <x v="1"/>
    <n v="16"/>
  </r>
  <r>
    <x v="79"/>
    <x v="1"/>
    <n v="11"/>
  </r>
  <r>
    <x v="80"/>
    <x v="1"/>
    <n v="8"/>
  </r>
  <r>
    <x v="81"/>
    <x v="1"/>
    <n v="8"/>
  </r>
  <r>
    <x v="82"/>
    <x v="1"/>
    <n v="14"/>
  </r>
  <r>
    <x v="83"/>
    <x v="1"/>
    <n v="15"/>
  </r>
  <r>
    <x v="84"/>
    <x v="1"/>
    <n v="-20"/>
  </r>
  <r>
    <x v="85"/>
    <x v="1"/>
    <n v="-13"/>
  </r>
  <r>
    <x v="86"/>
    <x v="1"/>
    <n v="0"/>
  </r>
  <r>
    <x v="87"/>
    <x v="1"/>
    <n v="3"/>
  </r>
  <r>
    <x v="88"/>
    <x v="1"/>
    <n v="-5"/>
  </r>
  <r>
    <x v="89"/>
    <x v="1"/>
    <n v="-2"/>
  </r>
  <r>
    <x v="90"/>
    <x v="1"/>
    <n v="-3"/>
  </r>
  <r>
    <x v="91"/>
    <x v="1"/>
    <n v="-15"/>
  </r>
  <r>
    <x v="92"/>
    <x v="1"/>
    <n v="-18"/>
  </r>
  <r>
    <x v="93"/>
    <x v="1"/>
    <n v="10"/>
  </r>
  <r>
    <x v="94"/>
    <x v="1"/>
    <n v="-19"/>
  </r>
  <r>
    <x v="95"/>
    <x v="1"/>
    <n v="-5"/>
  </r>
  <r>
    <x v="96"/>
    <x v="1"/>
    <n v="-21"/>
  </r>
  <r>
    <x v="97"/>
    <x v="1"/>
    <n v="12"/>
  </r>
  <r>
    <x v="98"/>
    <x v="1"/>
    <n v="2"/>
  </r>
  <r>
    <x v="99"/>
    <x v="1"/>
    <n v="8"/>
  </r>
  <r>
    <x v="100"/>
    <x v="1"/>
    <n v="16"/>
  </r>
  <r>
    <x v="101"/>
    <x v="1"/>
    <n v="39"/>
  </r>
  <r>
    <x v="102"/>
    <x v="1"/>
    <n v="6"/>
  </r>
  <r>
    <x v="103"/>
    <x v="1"/>
    <n v="26"/>
  </r>
  <r>
    <x v="104"/>
    <x v="1"/>
    <n v="5"/>
  </r>
  <r>
    <x v="105"/>
    <x v="1"/>
    <n v="0"/>
  </r>
  <r>
    <x v="106"/>
    <x v="1"/>
    <n v="14"/>
  </r>
  <r>
    <x v="107"/>
    <x v="1"/>
    <n v="27"/>
  </r>
  <r>
    <x v="108"/>
    <x v="1"/>
    <n v="37"/>
  </r>
  <r>
    <x v="109"/>
    <x v="1"/>
    <n v="29"/>
  </r>
  <r>
    <x v="110"/>
    <x v="1"/>
    <n v="51"/>
  </r>
  <r>
    <x v="111"/>
    <x v="1"/>
    <n v="41"/>
  </r>
  <r>
    <x v="112"/>
    <x v="1"/>
    <n v="12"/>
  </r>
  <r>
    <x v="113"/>
    <x v="1"/>
    <n v="20"/>
  </r>
  <r>
    <x v="114"/>
    <x v="1"/>
    <n v="36"/>
  </r>
  <r>
    <x v="115"/>
    <x v="1"/>
    <n v="58"/>
  </r>
  <r>
    <x v="116"/>
    <x v="1"/>
    <n v="28"/>
  </r>
  <r>
    <x v="117"/>
    <x v="1"/>
    <n v="53"/>
  </r>
  <r>
    <x v="118"/>
    <x v="1"/>
    <n v="73"/>
  </r>
  <r>
    <x v="119"/>
    <x v="1"/>
    <n v="52"/>
  </r>
  <r>
    <x v="120"/>
    <x v="1"/>
    <n v="51"/>
  </r>
  <r>
    <x v="121"/>
    <x v="1"/>
    <n v="64"/>
  </r>
  <r>
    <x v="122"/>
    <x v="1"/>
    <n v="71"/>
  </r>
  <r>
    <x v="123"/>
    <x v="1"/>
    <n v="72"/>
  </r>
  <r>
    <x v="124"/>
    <x v="1"/>
    <n v="67"/>
  </r>
  <r>
    <x v="125"/>
    <x v="1"/>
    <n v="84"/>
  </r>
  <r>
    <x v="126"/>
    <x v="1"/>
    <n v="80"/>
  </r>
  <r>
    <x v="127"/>
    <x v="1"/>
    <n v="83"/>
  </r>
  <r>
    <x v="128"/>
    <x v="1"/>
    <n v="66"/>
  </r>
  <r>
    <x v="129"/>
    <x v="1"/>
    <n v="71"/>
  </r>
  <r>
    <x v="130"/>
    <x v="1"/>
    <n v="88"/>
  </r>
  <r>
    <x v="131"/>
    <x v="1"/>
    <n v="71"/>
  </r>
  <r>
    <x v="132"/>
    <x v="1"/>
    <n v="77"/>
  </r>
  <r>
    <x v="133"/>
    <x v="1"/>
    <n v="76"/>
  </r>
  <r>
    <x v="134"/>
    <x v="1"/>
    <n v="91"/>
  </r>
  <r>
    <x v="0"/>
    <x v="2"/>
    <n v="-5"/>
  </r>
  <r>
    <x v="1"/>
    <x v="2"/>
    <n v="-2"/>
  </r>
  <r>
    <x v="2"/>
    <x v="2"/>
    <n v="-1"/>
  </r>
  <r>
    <x v="3"/>
    <x v="2"/>
    <n v="-8"/>
  </r>
  <r>
    <x v="4"/>
    <x v="2"/>
    <n v="-12"/>
  </r>
  <r>
    <x v="5"/>
    <x v="2"/>
    <n v="-21"/>
  </r>
  <r>
    <x v="6"/>
    <x v="2"/>
    <n v="-21"/>
  </r>
  <r>
    <x v="7"/>
    <x v="2"/>
    <n v="-28"/>
  </r>
  <r>
    <x v="8"/>
    <x v="2"/>
    <n v="-17"/>
  </r>
  <r>
    <x v="9"/>
    <x v="2"/>
    <n v="-6"/>
  </r>
  <r>
    <x v="10"/>
    <x v="2"/>
    <n v="-33"/>
  </r>
  <r>
    <x v="11"/>
    <x v="2"/>
    <n v="-24"/>
  </r>
  <r>
    <x v="12"/>
    <x v="2"/>
    <n v="-21"/>
  </r>
  <r>
    <x v="13"/>
    <x v="2"/>
    <n v="-19"/>
  </r>
  <r>
    <x v="14"/>
    <x v="2"/>
    <n v="-23"/>
  </r>
  <r>
    <x v="15"/>
    <x v="2"/>
    <n v="-14"/>
  </r>
  <r>
    <x v="16"/>
    <x v="2"/>
    <n v="-8"/>
  </r>
  <r>
    <x v="17"/>
    <x v="2"/>
    <n v="-9"/>
  </r>
  <r>
    <x v="18"/>
    <x v="2"/>
    <n v="-29"/>
  </r>
  <r>
    <x v="19"/>
    <x v="2"/>
    <n v="-15"/>
  </r>
  <r>
    <x v="20"/>
    <x v="2"/>
    <n v="-13"/>
  </r>
  <r>
    <x v="21"/>
    <x v="2"/>
    <n v="-19"/>
  </r>
  <r>
    <x v="22"/>
    <x v="2"/>
    <n v="-23"/>
  </r>
  <r>
    <x v="23"/>
    <x v="2"/>
    <n v="-35"/>
  </r>
  <r>
    <x v="24"/>
    <x v="2"/>
    <n v="-42"/>
  </r>
  <r>
    <x v="25"/>
    <x v="2"/>
    <n v="-26"/>
  </r>
  <r>
    <x v="26"/>
    <x v="2"/>
    <n v="-23"/>
  </r>
  <r>
    <x v="27"/>
    <x v="2"/>
    <n v="-31"/>
  </r>
  <r>
    <x v="28"/>
    <x v="2"/>
    <n v="-39"/>
  </r>
  <r>
    <x v="29"/>
    <x v="2"/>
    <n v="-46"/>
  </r>
  <r>
    <x v="30"/>
    <x v="2"/>
    <n v="-41"/>
  </r>
  <r>
    <x v="31"/>
    <x v="2"/>
    <n v="-47"/>
  </r>
  <r>
    <x v="32"/>
    <x v="2"/>
    <n v="-22"/>
  </r>
  <r>
    <x v="33"/>
    <x v="2"/>
    <n v="-25"/>
  </r>
  <r>
    <x v="34"/>
    <x v="2"/>
    <n v="-13"/>
  </r>
  <r>
    <x v="35"/>
    <x v="2"/>
    <n v="-11"/>
  </r>
  <r>
    <x v="36"/>
    <x v="2"/>
    <n v="-30"/>
  </r>
  <r>
    <x v="37"/>
    <x v="2"/>
    <n v="-26"/>
  </r>
  <r>
    <x v="38"/>
    <x v="2"/>
    <n v="-17"/>
  </r>
  <r>
    <x v="39"/>
    <x v="2"/>
    <n v="-10"/>
  </r>
  <r>
    <x v="40"/>
    <x v="2"/>
    <n v="-24"/>
  </r>
  <r>
    <x v="41"/>
    <x v="2"/>
    <n v="-31"/>
  </r>
  <r>
    <x v="42"/>
    <x v="2"/>
    <n v="-27"/>
  </r>
  <r>
    <x v="43"/>
    <x v="2"/>
    <n v="-27"/>
  </r>
  <r>
    <x v="44"/>
    <x v="2"/>
    <n v="-38"/>
  </r>
  <r>
    <x v="45"/>
    <x v="2"/>
    <n v="-30"/>
  </r>
  <r>
    <x v="46"/>
    <x v="2"/>
    <n v="-21"/>
  </r>
  <r>
    <x v="47"/>
    <x v="2"/>
    <n v="-29"/>
  </r>
  <r>
    <x v="48"/>
    <x v="2"/>
    <n v="-33"/>
  </r>
  <r>
    <x v="49"/>
    <x v="2"/>
    <n v="-40"/>
  </r>
  <r>
    <x v="50"/>
    <x v="2"/>
    <n v="-29"/>
  </r>
  <r>
    <x v="51"/>
    <x v="2"/>
    <n v="-23"/>
  </r>
  <r>
    <x v="52"/>
    <x v="2"/>
    <n v="-30"/>
  </r>
  <r>
    <x v="53"/>
    <x v="2"/>
    <n v="-31"/>
  </r>
  <r>
    <x v="54"/>
    <x v="2"/>
    <n v="-27"/>
  </r>
  <r>
    <x v="55"/>
    <x v="2"/>
    <n v="-29"/>
  </r>
  <r>
    <x v="56"/>
    <x v="2"/>
    <n v="-26"/>
  </r>
  <r>
    <x v="57"/>
    <x v="2"/>
    <n v="-16"/>
  </r>
  <r>
    <x v="58"/>
    <x v="2"/>
    <n v="-18"/>
  </r>
  <r>
    <x v="59"/>
    <x v="2"/>
    <n v="-13"/>
  </r>
  <r>
    <x v="60"/>
    <x v="2"/>
    <n v="3"/>
  </r>
  <r>
    <x v="61"/>
    <x v="2"/>
    <n v="10"/>
  </r>
  <r>
    <x v="62"/>
    <x v="2"/>
    <n v="6"/>
  </r>
  <r>
    <x v="63"/>
    <x v="2"/>
    <n v="7"/>
  </r>
  <r>
    <x v="64"/>
    <x v="2"/>
    <n v="24"/>
  </r>
  <r>
    <x v="65"/>
    <x v="2"/>
    <n v="16"/>
  </r>
  <r>
    <x v="66"/>
    <x v="2"/>
    <n v="-12"/>
  </r>
  <r>
    <x v="67"/>
    <x v="2"/>
    <n v="-12"/>
  </r>
  <r>
    <x v="68"/>
    <x v="2"/>
    <n v="-18"/>
  </r>
  <r>
    <x v="69"/>
    <x v="2"/>
    <n v="-16"/>
  </r>
  <r>
    <x v="70"/>
    <x v="2"/>
    <n v="-19"/>
  </r>
  <r>
    <x v="71"/>
    <x v="2"/>
    <n v="-18"/>
  </r>
  <r>
    <x v="72"/>
    <x v="2"/>
    <n v="-3"/>
  </r>
  <r>
    <x v="73"/>
    <x v="2"/>
    <n v="-6"/>
  </r>
  <r>
    <x v="74"/>
    <x v="2"/>
    <n v="-20"/>
  </r>
  <r>
    <x v="75"/>
    <x v="2"/>
    <n v="-19"/>
  </r>
  <r>
    <x v="76"/>
    <x v="2"/>
    <n v="-14"/>
  </r>
  <r>
    <x v="77"/>
    <x v="2"/>
    <n v="3"/>
  </r>
  <r>
    <x v="78"/>
    <x v="2"/>
    <n v="-5"/>
  </r>
  <r>
    <x v="79"/>
    <x v="2"/>
    <n v="-4"/>
  </r>
  <r>
    <x v="80"/>
    <x v="2"/>
    <n v="-13"/>
  </r>
  <r>
    <x v="81"/>
    <x v="2"/>
    <n v="3"/>
  </r>
  <r>
    <x v="82"/>
    <x v="2"/>
    <n v="-9"/>
  </r>
  <r>
    <x v="83"/>
    <x v="2"/>
    <n v="-3"/>
  </r>
  <r>
    <x v="84"/>
    <x v="2"/>
    <n v="-21"/>
  </r>
  <r>
    <x v="85"/>
    <x v="2"/>
    <n v="-7"/>
  </r>
  <r>
    <x v="86"/>
    <x v="2"/>
    <n v="-10"/>
  </r>
  <r>
    <x v="87"/>
    <x v="2"/>
    <n v="-8"/>
  </r>
  <r>
    <x v="88"/>
    <x v="2"/>
    <n v="-9"/>
  </r>
  <r>
    <x v="89"/>
    <x v="2"/>
    <n v="14"/>
  </r>
  <r>
    <x v="90"/>
    <x v="2"/>
    <n v="9"/>
  </r>
  <r>
    <x v="91"/>
    <x v="2"/>
    <n v="-3"/>
  </r>
  <r>
    <x v="92"/>
    <x v="2"/>
    <n v="20"/>
  </r>
  <r>
    <x v="93"/>
    <x v="2"/>
    <n v="20"/>
  </r>
  <r>
    <x v="94"/>
    <x v="2"/>
    <n v="4"/>
  </r>
  <r>
    <x v="95"/>
    <x v="2"/>
    <n v="2"/>
  </r>
  <r>
    <x v="96"/>
    <x v="2"/>
    <n v="-2"/>
  </r>
  <r>
    <x v="97"/>
    <x v="2"/>
    <n v="24"/>
  </r>
  <r>
    <x v="98"/>
    <x v="2"/>
    <n v="12"/>
  </r>
  <r>
    <x v="99"/>
    <x v="2"/>
    <n v="26"/>
  </r>
  <r>
    <x v="100"/>
    <x v="2"/>
    <n v="39"/>
  </r>
  <r>
    <x v="101"/>
    <x v="2"/>
    <n v="27"/>
  </r>
  <r>
    <x v="102"/>
    <x v="2"/>
    <n v="21"/>
  </r>
  <r>
    <x v="103"/>
    <x v="2"/>
    <n v="35"/>
  </r>
  <r>
    <x v="104"/>
    <x v="2"/>
    <n v="27"/>
  </r>
  <r>
    <x v="105"/>
    <x v="2"/>
    <n v="25"/>
  </r>
  <r>
    <x v="106"/>
    <x v="2"/>
    <n v="25"/>
  </r>
  <r>
    <x v="107"/>
    <x v="2"/>
    <n v="41"/>
  </r>
  <r>
    <x v="108"/>
    <x v="2"/>
    <n v="43"/>
  </r>
  <r>
    <x v="109"/>
    <x v="2"/>
    <n v="29"/>
  </r>
  <r>
    <x v="110"/>
    <x v="2"/>
    <n v="36"/>
  </r>
  <r>
    <x v="111"/>
    <x v="2"/>
    <n v="44"/>
  </r>
  <r>
    <x v="112"/>
    <x v="2"/>
    <n v="33"/>
  </r>
  <r>
    <x v="113"/>
    <x v="2"/>
    <n v="29"/>
  </r>
  <r>
    <x v="114"/>
    <x v="2"/>
    <n v="27"/>
  </r>
  <r>
    <x v="115"/>
    <x v="2"/>
    <n v="34"/>
  </r>
  <r>
    <x v="116"/>
    <x v="2"/>
    <n v="42"/>
  </r>
  <r>
    <x v="117"/>
    <x v="2"/>
    <n v="42"/>
  </r>
  <r>
    <x v="118"/>
    <x v="2"/>
    <n v="54"/>
  </r>
  <r>
    <x v="119"/>
    <x v="2"/>
    <n v="32"/>
  </r>
  <r>
    <x v="120"/>
    <x v="2"/>
    <n v="33"/>
  </r>
  <r>
    <x v="121"/>
    <x v="2"/>
    <n v="46"/>
  </r>
  <r>
    <x v="122"/>
    <x v="2"/>
    <n v="56"/>
  </r>
  <r>
    <x v="123"/>
    <x v="2"/>
    <n v="52"/>
  </r>
  <r>
    <x v="124"/>
    <x v="2"/>
    <n v="42"/>
  </r>
  <r>
    <x v="125"/>
    <x v="2"/>
    <n v="55"/>
  </r>
  <r>
    <x v="126"/>
    <x v="2"/>
    <n v="47"/>
  </r>
  <r>
    <x v="127"/>
    <x v="2"/>
    <n v="49"/>
  </r>
  <r>
    <x v="128"/>
    <x v="2"/>
    <n v="42"/>
  </r>
  <r>
    <x v="129"/>
    <x v="2"/>
    <n v="59"/>
  </r>
  <r>
    <x v="130"/>
    <x v="2"/>
    <n v="55"/>
  </r>
  <r>
    <x v="131"/>
    <x v="2"/>
    <n v="50"/>
  </r>
  <r>
    <x v="132"/>
    <x v="2"/>
    <n v="50"/>
  </r>
  <r>
    <x v="133"/>
    <x v="2"/>
    <n v="56"/>
  </r>
  <r>
    <x v="134"/>
    <x v="2"/>
    <n v="58"/>
  </r>
  <r>
    <x v="0"/>
    <x v="3"/>
    <n v="-38"/>
  </r>
  <r>
    <x v="1"/>
    <x v="3"/>
    <n v="-27"/>
  </r>
  <r>
    <x v="2"/>
    <x v="3"/>
    <n v="-21"/>
  </r>
  <r>
    <x v="3"/>
    <x v="3"/>
    <n v="-34"/>
  </r>
  <r>
    <x v="4"/>
    <x v="3"/>
    <n v="-56"/>
  </r>
  <r>
    <x v="5"/>
    <x v="3"/>
    <n v="-61"/>
  </r>
  <r>
    <x v="6"/>
    <x v="3"/>
    <n v="-49"/>
  </r>
  <r>
    <x v="7"/>
    <x v="3"/>
    <n v="-46"/>
  </r>
  <r>
    <x v="8"/>
    <x v="3"/>
    <n v="-42"/>
  </r>
  <r>
    <x v="9"/>
    <x v="3"/>
    <n v="-25"/>
  </r>
  <r>
    <x v="10"/>
    <x v="3"/>
    <n v="-44"/>
  </r>
  <r>
    <x v="11"/>
    <x v="3"/>
    <n v="-33"/>
  </r>
  <r>
    <x v="12"/>
    <x v="3"/>
    <n v="-29"/>
  </r>
  <r>
    <x v="13"/>
    <x v="3"/>
    <n v="-37"/>
  </r>
  <r>
    <x v="14"/>
    <x v="3"/>
    <n v="-26"/>
  </r>
  <r>
    <x v="15"/>
    <x v="3"/>
    <n v="-34"/>
  </r>
  <r>
    <x v="16"/>
    <x v="3"/>
    <n v="-33"/>
  </r>
  <r>
    <x v="17"/>
    <x v="3"/>
    <n v="-30"/>
  </r>
  <r>
    <x v="18"/>
    <x v="3"/>
    <n v="-28"/>
  </r>
  <r>
    <x v="19"/>
    <x v="3"/>
    <n v="-18"/>
  </r>
  <r>
    <x v="20"/>
    <x v="3"/>
    <n v="-12"/>
  </r>
  <r>
    <x v="21"/>
    <x v="3"/>
    <n v="-10"/>
  </r>
  <r>
    <x v="22"/>
    <x v="3"/>
    <n v="-47"/>
  </r>
  <r>
    <x v="23"/>
    <x v="3"/>
    <n v="-39"/>
  </r>
  <r>
    <x v="24"/>
    <x v="3"/>
    <n v="-46"/>
  </r>
  <r>
    <x v="25"/>
    <x v="3"/>
    <n v="-37"/>
  </r>
  <r>
    <x v="26"/>
    <x v="3"/>
    <n v="-19"/>
  </r>
  <r>
    <x v="27"/>
    <x v="3"/>
    <n v="-56"/>
  </r>
  <r>
    <x v="28"/>
    <x v="3"/>
    <n v="-46"/>
  </r>
  <r>
    <x v="29"/>
    <x v="3"/>
    <n v="-47"/>
  </r>
  <r>
    <x v="30"/>
    <x v="3"/>
    <n v="-36"/>
  </r>
  <r>
    <x v="31"/>
    <x v="3"/>
    <n v="-37"/>
  </r>
  <r>
    <x v="32"/>
    <x v="3"/>
    <n v="-57"/>
  </r>
  <r>
    <x v="33"/>
    <x v="3"/>
    <n v="-40"/>
  </r>
  <r>
    <x v="34"/>
    <x v="3"/>
    <n v="-22"/>
  </r>
  <r>
    <x v="35"/>
    <x v="3"/>
    <n v="-16"/>
  </r>
  <r>
    <x v="36"/>
    <x v="3"/>
    <n v="-27"/>
  </r>
  <r>
    <x v="37"/>
    <x v="3"/>
    <n v="-40"/>
  </r>
  <r>
    <x v="38"/>
    <x v="3"/>
    <n v="-32"/>
  </r>
  <r>
    <x v="39"/>
    <x v="3"/>
    <n v="-39"/>
  </r>
  <r>
    <x v="40"/>
    <x v="3"/>
    <n v="-16"/>
  </r>
  <r>
    <x v="41"/>
    <x v="3"/>
    <n v="7"/>
  </r>
  <r>
    <x v="42"/>
    <x v="3"/>
    <n v="-18"/>
  </r>
  <r>
    <x v="43"/>
    <x v="3"/>
    <n v="-7"/>
  </r>
  <r>
    <x v="44"/>
    <x v="3"/>
    <n v="-7"/>
  </r>
  <r>
    <x v="45"/>
    <x v="3"/>
    <n v="3"/>
  </r>
  <r>
    <x v="46"/>
    <x v="3"/>
    <n v="6"/>
  </r>
  <r>
    <x v="47"/>
    <x v="3"/>
    <n v="-9"/>
  </r>
  <r>
    <x v="48"/>
    <x v="3"/>
    <n v="-3"/>
  </r>
  <r>
    <x v="49"/>
    <x v="3"/>
    <n v="-33"/>
  </r>
  <r>
    <x v="50"/>
    <x v="3"/>
    <n v="10"/>
  </r>
  <r>
    <x v="51"/>
    <x v="3"/>
    <n v="5"/>
  </r>
  <r>
    <x v="52"/>
    <x v="3"/>
    <n v="7"/>
  </r>
  <r>
    <x v="53"/>
    <x v="3"/>
    <n v="-21"/>
  </r>
  <r>
    <x v="54"/>
    <x v="3"/>
    <n v="21"/>
  </r>
  <r>
    <x v="55"/>
    <x v="3"/>
    <n v="0"/>
  </r>
  <r>
    <x v="56"/>
    <x v="3"/>
    <n v="-1"/>
  </r>
  <r>
    <x v="57"/>
    <x v="3"/>
    <n v="21"/>
  </r>
  <r>
    <x v="58"/>
    <x v="3"/>
    <n v="37"/>
  </r>
  <r>
    <x v="59"/>
    <x v="3"/>
    <n v="24"/>
  </r>
  <r>
    <x v="60"/>
    <x v="3"/>
    <n v="10"/>
  </r>
  <r>
    <x v="61"/>
    <x v="3"/>
    <n v="-3"/>
  </r>
  <r>
    <x v="62"/>
    <x v="3"/>
    <n v="14"/>
  </r>
  <r>
    <x v="63"/>
    <x v="3"/>
    <n v="38"/>
  </r>
  <r>
    <x v="64"/>
    <x v="3"/>
    <n v="39"/>
  </r>
  <r>
    <x v="65"/>
    <x v="3"/>
    <n v="10"/>
  </r>
  <r>
    <x v="66"/>
    <x v="3"/>
    <n v="8"/>
  </r>
  <r>
    <x v="67"/>
    <x v="3"/>
    <n v="14"/>
  </r>
  <r>
    <x v="68"/>
    <x v="3"/>
    <n v="14"/>
  </r>
  <r>
    <x v="69"/>
    <x v="3"/>
    <n v="12"/>
  </r>
  <r>
    <x v="70"/>
    <x v="3"/>
    <n v="-8"/>
  </r>
  <r>
    <x v="71"/>
    <x v="3"/>
    <n v="7"/>
  </r>
  <r>
    <x v="72"/>
    <x v="3"/>
    <n v="9"/>
  </r>
  <r>
    <x v="73"/>
    <x v="3"/>
    <n v="33"/>
  </r>
  <r>
    <x v="74"/>
    <x v="3"/>
    <n v="3"/>
  </r>
  <r>
    <x v="75"/>
    <x v="3"/>
    <n v="2"/>
  </r>
  <r>
    <x v="76"/>
    <x v="3"/>
    <n v="-24"/>
  </r>
  <r>
    <x v="77"/>
    <x v="3"/>
    <n v="2"/>
  </r>
  <r>
    <x v="78"/>
    <x v="3"/>
    <n v="10"/>
  </r>
  <r>
    <x v="79"/>
    <x v="3"/>
    <n v="15"/>
  </r>
  <r>
    <x v="80"/>
    <x v="3"/>
    <n v="9"/>
  </r>
  <r>
    <x v="81"/>
    <x v="3"/>
    <n v="18"/>
  </r>
  <r>
    <x v="82"/>
    <x v="3"/>
    <n v="27"/>
  </r>
  <r>
    <x v="83"/>
    <x v="3"/>
    <n v="16"/>
  </r>
  <r>
    <x v="84"/>
    <x v="3"/>
    <n v="-24"/>
  </r>
  <r>
    <x v="85"/>
    <x v="3"/>
    <n v="-17"/>
  </r>
  <r>
    <x v="86"/>
    <x v="3"/>
    <n v="-12"/>
  </r>
  <r>
    <x v="87"/>
    <x v="3"/>
    <n v="13"/>
  </r>
  <r>
    <x v="88"/>
    <x v="3"/>
    <n v="-8"/>
  </r>
  <r>
    <x v="89"/>
    <x v="3"/>
    <n v="-26"/>
  </r>
  <r>
    <x v="90"/>
    <x v="3"/>
    <n v="-10"/>
  </r>
  <r>
    <x v="91"/>
    <x v="3"/>
    <n v="-6"/>
  </r>
  <r>
    <x v="92"/>
    <x v="3"/>
    <n v="-35"/>
  </r>
  <r>
    <x v="93"/>
    <x v="3"/>
    <n v="12"/>
  </r>
  <r>
    <x v="94"/>
    <x v="3"/>
    <n v="-17"/>
  </r>
  <r>
    <x v="95"/>
    <x v="3"/>
    <n v="12"/>
  </r>
  <r>
    <x v="96"/>
    <x v="3"/>
    <n v="-26"/>
  </r>
  <r>
    <x v="97"/>
    <x v="3"/>
    <n v="14"/>
  </r>
  <r>
    <x v="98"/>
    <x v="3"/>
    <n v="-3"/>
  </r>
  <r>
    <x v="99"/>
    <x v="3"/>
    <n v="-3"/>
  </r>
  <r>
    <x v="100"/>
    <x v="3"/>
    <n v="6"/>
  </r>
  <r>
    <x v="101"/>
    <x v="3"/>
    <n v="50"/>
  </r>
  <r>
    <x v="102"/>
    <x v="3"/>
    <n v="-6"/>
  </r>
  <r>
    <x v="103"/>
    <x v="3"/>
    <n v="24"/>
  </r>
  <r>
    <x v="104"/>
    <x v="3"/>
    <n v="3"/>
  </r>
  <r>
    <x v="105"/>
    <x v="3"/>
    <n v="-3"/>
  </r>
  <r>
    <x v="106"/>
    <x v="3"/>
    <n v="11"/>
  </r>
  <r>
    <x v="107"/>
    <x v="3"/>
    <n v="7"/>
  </r>
  <r>
    <x v="108"/>
    <x v="3"/>
    <n v="40"/>
  </r>
  <r>
    <x v="109"/>
    <x v="3"/>
    <n v="42"/>
  </r>
  <r>
    <x v="110"/>
    <x v="3"/>
    <n v="61"/>
  </r>
  <r>
    <x v="111"/>
    <x v="3"/>
    <n v="46"/>
  </r>
  <r>
    <x v="112"/>
    <x v="3"/>
    <n v="7"/>
  </r>
  <r>
    <x v="113"/>
    <x v="3"/>
    <n v="13"/>
  </r>
  <r>
    <x v="114"/>
    <x v="3"/>
    <n v="43"/>
  </r>
  <r>
    <x v="115"/>
    <x v="3"/>
    <n v="70"/>
  </r>
  <r>
    <x v="116"/>
    <x v="3"/>
    <n v="26"/>
  </r>
  <r>
    <x v="117"/>
    <x v="3"/>
    <n v="54"/>
  </r>
  <r>
    <x v="118"/>
    <x v="3"/>
    <n v="79"/>
  </r>
  <r>
    <x v="119"/>
    <x v="3"/>
    <n v="73"/>
  </r>
  <r>
    <x v="120"/>
    <x v="3"/>
    <n v="71"/>
  </r>
  <r>
    <x v="121"/>
    <x v="3"/>
    <n v="80"/>
  </r>
  <r>
    <x v="122"/>
    <x v="3"/>
    <n v="81"/>
  </r>
  <r>
    <x v="123"/>
    <x v="3"/>
    <n v="80"/>
  </r>
  <r>
    <x v="124"/>
    <x v="3"/>
    <n v="75"/>
  </r>
  <r>
    <x v="125"/>
    <x v="3"/>
    <n v="99"/>
  </r>
  <r>
    <x v="126"/>
    <x v="3"/>
    <n v="96"/>
  </r>
  <r>
    <x v="127"/>
    <x v="3"/>
    <n v="110"/>
  </r>
  <r>
    <x v="128"/>
    <x v="3"/>
    <n v="88"/>
  </r>
  <r>
    <x v="129"/>
    <x v="3"/>
    <n v="74"/>
  </r>
  <r>
    <x v="130"/>
    <x v="3"/>
    <n v="98"/>
  </r>
  <r>
    <x v="131"/>
    <x v="3"/>
    <n v="93"/>
  </r>
  <r>
    <x v="132"/>
    <x v="3"/>
    <n v="97"/>
  </r>
  <r>
    <x v="133"/>
    <x v="3"/>
    <n v="88"/>
  </r>
  <r>
    <x v="134"/>
    <x v="3"/>
    <n v="106"/>
  </r>
  <r>
    <x v="0"/>
    <x v="4"/>
    <n v="-16"/>
  </r>
  <r>
    <x v="1"/>
    <x v="4"/>
    <n v="-2"/>
  </r>
  <r>
    <x v="2"/>
    <x v="4"/>
    <n v="-10"/>
  </r>
  <r>
    <x v="3"/>
    <x v="4"/>
    <n v="-22"/>
  </r>
  <r>
    <x v="4"/>
    <x v="4"/>
    <n v="-17"/>
  </r>
  <r>
    <x v="5"/>
    <x v="4"/>
    <n v="-17"/>
  </r>
  <r>
    <x v="6"/>
    <x v="4"/>
    <n v="-24"/>
  </r>
  <r>
    <x v="7"/>
    <x v="4"/>
    <n v="-27"/>
  </r>
  <r>
    <x v="8"/>
    <x v="4"/>
    <n v="7"/>
  </r>
  <r>
    <x v="9"/>
    <x v="4"/>
    <n v="4"/>
  </r>
  <r>
    <x v="10"/>
    <x v="4"/>
    <n v="-39"/>
  </r>
  <r>
    <x v="11"/>
    <x v="4"/>
    <n v="-16"/>
  </r>
  <r>
    <x v="12"/>
    <x v="4"/>
    <n v="-30"/>
  </r>
  <r>
    <x v="13"/>
    <x v="4"/>
    <n v="-40"/>
  </r>
  <r>
    <x v="14"/>
    <x v="4"/>
    <n v="-38"/>
  </r>
  <r>
    <x v="15"/>
    <x v="4"/>
    <n v="-13"/>
  </r>
  <r>
    <x v="16"/>
    <x v="4"/>
    <n v="3"/>
  </r>
  <r>
    <x v="17"/>
    <x v="4"/>
    <n v="16"/>
  </r>
  <r>
    <x v="18"/>
    <x v="4"/>
    <n v="-29"/>
  </r>
  <r>
    <x v="19"/>
    <x v="4"/>
    <n v="-13"/>
  </r>
  <r>
    <x v="20"/>
    <x v="4"/>
    <n v="15"/>
  </r>
  <r>
    <x v="21"/>
    <x v="4"/>
    <n v="-5"/>
  </r>
  <r>
    <x v="22"/>
    <x v="4"/>
    <n v="-5"/>
  </r>
  <r>
    <x v="23"/>
    <x v="4"/>
    <n v="-32"/>
  </r>
  <r>
    <x v="24"/>
    <x v="4"/>
    <n v="-46"/>
  </r>
  <r>
    <x v="25"/>
    <x v="4"/>
    <n v="-13"/>
  </r>
  <r>
    <x v="26"/>
    <x v="4"/>
    <n v="-22"/>
  </r>
  <r>
    <x v="27"/>
    <x v="4"/>
    <n v="-34"/>
  </r>
  <r>
    <x v="28"/>
    <x v="4"/>
    <n v="-47"/>
  </r>
  <r>
    <x v="29"/>
    <x v="4"/>
    <n v="-53"/>
  </r>
  <r>
    <x v="30"/>
    <x v="4"/>
    <n v="-54"/>
  </r>
  <r>
    <x v="31"/>
    <x v="4"/>
    <n v="-47"/>
  </r>
  <r>
    <x v="32"/>
    <x v="4"/>
    <n v="-22"/>
  </r>
  <r>
    <x v="33"/>
    <x v="4"/>
    <n v="-31"/>
  </r>
  <r>
    <x v="34"/>
    <x v="4"/>
    <n v="-7"/>
  </r>
  <r>
    <x v="35"/>
    <x v="4"/>
    <n v="1"/>
  </r>
  <r>
    <x v="36"/>
    <x v="4"/>
    <n v="-45"/>
  </r>
  <r>
    <x v="37"/>
    <x v="4"/>
    <n v="-61"/>
  </r>
  <r>
    <x v="38"/>
    <x v="4"/>
    <n v="-27"/>
  </r>
  <r>
    <x v="39"/>
    <x v="4"/>
    <n v="-14"/>
  </r>
  <r>
    <x v="40"/>
    <x v="4"/>
    <n v="-27"/>
  </r>
  <r>
    <x v="41"/>
    <x v="4"/>
    <n v="-27"/>
  </r>
  <r>
    <x v="42"/>
    <x v="4"/>
    <n v="-32"/>
  </r>
  <r>
    <x v="43"/>
    <x v="4"/>
    <n v="-30"/>
  </r>
  <r>
    <x v="44"/>
    <x v="4"/>
    <n v="-25"/>
  </r>
  <r>
    <x v="45"/>
    <x v="4"/>
    <n v="-22"/>
  </r>
  <r>
    <x v="46"/>
    <x v="4"/>
    <n v="3"/>
  </r>
  <r>
    <x v="47"/>
    <x v="4"/>
    <n v="-14"/>
  </r>
  <r>
    <x v="48"/>
    <x v="4"/>
    <n v="-14"/>
  </r>
  <r>
    <x v="49"/>
    <x v="4"/>
    <n v="-27"/>
  </r>
  <r>
    <x v="50"/>
    <x v="4"/>
    <n v="-12"/>
  </r>
  <r>
    <x v="51"/>
    <x v="4"/>
    <n v="3"/>
  </r>
  <r>
    <x v="52"/>
    <x v="4"/>
    <n v="-17"/>
  </r>
  <r>
    <x v="53"/>
    <x v="4"/>
    <n v="-29"/>
  </r>
  <r>
    <x v="54"/>
    <x v="4"/>
    <n v="-27"/>
  </r>
  <r>
    <x v="55"/>
    <x v="4"/>
    <n v="-22"/>
  </r>
  <r>
    <x v="56"/>
    <x v="4"/>
    <n v="-14"/>
  </r>
  <r>
    <x v="57"/>
    <x v="4"/>
    <n v="-6"/>
  </r>
  <r>
    <x v="58"/>
    <x v="4"/>
    <n v="-26"/>
  </r>
  <r>
    <x v="59"/>
    <x v="4"/>
    <n v="-17"/>
  </r>
  <r>
    <x v="60"/>
    <x v="4"/>
    <n v="19"/>
  </r>
  <r>
    <x v="61"/>
    <x v="4"/>
    <n v="39"/>
  </r>
  <r>
    <x v="62"/>
    <x v="4"/>
    <n v="15"/>
  </r>
  <r>
    <x v="63"/>
    <x v="4"/>
    <n v="0"/>
  </r>
  <r>
    <x v="64"/>
    <x v="4"/>
    <n v="22"/>
  </r>
  <r>
    <x v="65"/>
    <x v="4"/>
    <n v="22"/>
  </r>
  <r>
    <x v="66"/>
    <x v="4"/>
    <n v="-1"/>
  </r>
  <r>
    <x v="67"/>
    <x v="4"/>
    <n v="-9"/>
  </r>
  <r>
    <x v="68"/>
    <x v="4"/>
    <n v="-18"/>
  </r>
  <r>
    <x v="69"/>
    <x v="4"/>
    <n v="-18"/>
  </r>
  <r>
    <x v="70"/>
    <x v="4"/>
    <n v="-27"/>
  </r>
  <r>
    <x v="71"/>
    <x v="4"/>
    <n v="-6"/>
  </r>
  <r>
    <x v="72"/>
    <x v="4"/>
    <n v="2"/>
  </r>
  <r>
    <x v="73"/>
    <x v="4"/>
    <n v="5"/>
  </r>
  <r>
    <x v="74"/>
    <x v="4"/>
    <n v="-21"/>
  </r>
  <r>
    <x v="75"/>
    <x v="4"/>
    <n v="-32"/>
  </r>
  <r>
    <x v="76"/>
    <x v="4"/>
    <n v="-32"/>
  </r>
  <r>
    <x v="77"/>
    <x v="4"/>
    <n v="7"/>
  </r>
  <r>
    <x v="78"/>
    <x v="4"/>
    <n v="20"/>
  </r>
  <r>
    <x v="79"/>
    <x v="4"/>
    <n v="6"/>
  </r>
  <r>
    <x v="80"/>
    <x v="4"/>
    <n v="1"/>
  </r>
  <r>
    <x v="81"/>
    <x v="4"/>
    <n v="-3"/>
  </r>
  <r>
    <x v="82"/>
    <x v="4"/>
    <n v="-4"/>
  </r>
  <r>
    <x v="83"/>
    <x v="4"/>
    <n v="11"/>
  </r>
  <r>
    <x v="84"/>
    <x v="4"/>
    <n v="-14"/>
  </r>
  <r>
    <x v="85"/>
    <x v="4"/>
    <n v="-3"/>
  </r>
  <r>
    <x v="86"/>
    <x v="4"/>
    <n v="8"/>
  </r>
  <r>
    <x v="87"/>
    <x v="4"/>
    <n v="-14"/>
  </r>
  <r>
    <x v="88"/>
    <x v="4"/>
    <n v="-6"/>
  </r>
  <r>
    <x v="89"/>
    <x v="4"/>
    <n v="32"/>
  </r>
  <r>
    <x v="90"/>
    <x v="4"/>
    <n v="6"/>
  </r>
  <r>
    <x v="91"/>
    <x v="4"/>
    <n v="-26"/>
  </r>
  <r>
    <x v="92"/>
    <x v="4"/>
    <n v="16"/>
  </r>
  <r>
    <x v="93"/>
    <x v="4"/>
    <n v="17"/>
  </r>
  <r>
    <x v="94"/>
    <x v="4"/>
    <n v="-19"/>
  </r>
  <r>
    <x v="95"/>
    <x v="4"/>
    <n v="-22"/>
  </r>
  <r>
    <x v="96"/>
    <x v="4"/>
    <n v="-11"/>
  </r>
  <r>
    <x v="97"/>
    <x v="4"/>
    <n v="16"/>
  </r>
  <r>
    <x v="98"/>
    <x v="4"/>
    <n v="9"/>
  </r>
  <r>
    <x v="99"/>
    <x v="4"/>
    <n v="25"/>
  </r>
  <r>
    <x v="100"/>
    <x v="4"/>
    <n v="30"/>
  </r>
  <r>
    <x v="101"/>
    <x v="4"/>
    <n v="19"/>
  </r>
  <r>
    <x v="102"/>
    <x v="4"/>
    <n v="27"/>
  </r>
  <r>
    <x v="103"/>
    <x v="4"/>
    <n v="44"/>
  </r>
  <r>
    <x v="104"/>
    <x v="4"/>
    <n v="19"/>
  </r>
  <r>
    <x v="105"/>
    <x v="4"/>
    <n v="11"/>
  </r>
  <r>
    <x v="106"/>
    <x v="4"/>
    <n v="24"/>
  </r>
  <r>
    <x v="107"/>
    <x v="4"/>
    <n v="60"/>
  </r>
  <r>
    <x v="108"/>
    <x v="4"/>
    <n v="38"/>
  </r>
  <r>
    <x v="109"/>
    <x v="4"/>
    <n v="16"/>
  </r>
  <r>
    <x v="110"/>
    <x v="4"/>
    <n v="38"/>
  </r>
  <r>
    <x v="111"/>
    <x v="4"/>
    <n v="39"/>
  </r>
  <r>
    <x v="112"/>
    <x v="4"/>
    <n v="30"/>
  </r>
  <r>
    <x v="113"/>
    <x v="4"/>
    <n v="34"/>
  </r>
  <r>
    <x v="114"/>
    <x v="4"/>
    <n v="32"/>
  </r>
  <r>
    <x v="115"/>
    <x v="4"/>
    <n v="44"/>
  </r>
  <r>
    <x v="116"/>
    <x v="4"/>
    <n v="34"/>
  </r>
  <r>
    <x v="117"/>
    <x v="4"/>
    <n v="53"/>
  </r>
  <r>
    <x v="118"/>
    <x v="4"/>
    <n v="72"/>
  </r>
  <r>
    <x v="119"/>
    <x v="4"/>
    <n v="26"/>
  </r>
  <r>
    <x v="120"/>
    <x v="4"/>
    <n v="28"/>
  </r>
  <r>
    <x v="121"/>
    <x v="4"/>
    <n v="45"/>
  </r>
  <r>
    <x v="122"/>
    <x v="4"/>
    <n v="61"/>
  </r>
  <r>
    <x v="123"/>
    <x v="4"/>
    <n v="64"/>
  </r>
  <r>
    <x v="124"/>
    <x v="4"/>
    <n v="57"/>
  </r>
  <r>
    <x v="125"/>
    <x v="4"/>
    <n v="65"/>
  </r>
  <r>
    <x v="126"/>
    <x v="4"/>
    <n v="56"/>
  </r>
  <r>
    <x v="127"/>
    <x v="4"/>
    <n v="47"/>
  </r>
  <r>
    <x v="128"/>
    <x v="4"/>
    <n v="39"/>
  </r>
  <r>
    <x v="129"/>
    <x v="4"/>
    <n v="68"/>
  </r>
  <r>
    <x v="130"/>
    <x v="4"/>
    <n v="69"/>
  </r>
  <r>
    <x v="131"/>
    <x v="4"/>
    <n v="37"/>
  </r>
  <r>
    <x v="132"/>
    <x v="4"/>
    <n v="51"/>
  </r>
  <r>
    <x v="133"/>
    <x v="4"/>
    <n v="58"/>
  </r>
  <r>
    <x v="134"/>
    <x v="4"/>
    <n v="67"/>
  </r>
  <r>
    <x v="0"/>
    <x v="5"/>
    <n v="-5"/>
  </r>
  <r>
    <x v="1"/>
    <x v="5"/>
    <n v="-5"/>
  </r>
  <r>
    <x v="2"/>
    <x v="5"/>
    <n v="4"/>
  </r>
  <r>
    <x v="3"/>
    <x v="5"/>
    <n v="-2"/>
  </r>
  <r>
    <x v="4"/>
    <x v="5"/>
    <n v="-11"/>
  </r>
  <r>
    <x v="5"/>
    <x v="5"/>
    <n v="-20"/>
  </r>
  <r>
    <x v="6"/>
    <x v="5"/>
    <n v="-20"/>
  </r>
  <r>
    <x v="7"/>
    <x v="5"/>
    <n v="-26"/>
  </r>
  <r>
    <x v="8"/>
    <x v="5"/>
    <n v="-33"/>
  </r>
  <r>
    <x v="9"/>
    <x v="5"/>
    <n v="-17"/>
  </r>
  <r>
    <x v="10"/>
    <x v="5"/>
    <n v="-26"/>
  </r>
  <r>
    <x v="11"/>
    <x v="5"/>
    <n v="-23"/>
  </r>
  <r>
    <x v="12"/>
    <x v="5"/>
    <n v="-16"/>
  </r>
  <r>
    <x v="13"/>
    <x v="5"/>
    <n v="-7"/>
  </r>
  <r>
    <x v="14"/>
    <x v="5"/>
    <n v="-22"/>
  </r>
  <r>
    <x v="15"/>
    <x v="5"/>
    <n v="-19"/>
  </r>
  <r>
    <x v="16"/>
    <x v="5"/>
    <n v="-18"/>
  </r>
  <r>
    <x v="17"/>
    <x v="5"/>
    <n v="-28"/>
  </r>
  <r>
    <x v="18"/>
    <x v="5"/>
    <n v="-29"/>
  </r>
  <r>
    <x v="19"/>
    <x v="5"/>
    <n v="-17"/>
  </r>
  <r>
    <x v="20"/>
    <x v="5"/>
    <n v="-34"/>
  </r>
  <r>
    <x v="21"/>
    <x v="5"/>
    <n v="-28"/>
  </r>
  <r>
    <x v="22"/>
    <x v="5"/>
    <n v="-33"/>
  </r>
  <r>
    <x v="23"/>
    <x v="5"/>
    <n v="-33"/>
  </r>
  <r>
    <x v="24"/>
    <x v="5"/>
    <n v="-38"/>
  </r>
  <r>
    <x v="25"/>
    <x v="5"/>
    <n v="-36"/>
  </r>
  <r>
    <x v="26"/>
    <x v="5"/>
    <n v="-24"/>
  </r>
  <r>
    <x v="27"/>
    <x v="5"/>
    <n v="-28"/>
  </r>
  <r>
    <x v="28"/>
    <x v="5"/>
    <n v="-33"/>
  </r>
  <r>
    <x v="29"/>
    <x v="5"/>
    <n v="-40"/>
  </r>
  <r>
    <x v="30"/>
    <x v="5"/>
    <n v="-32"/>
  </r>
  <r>
    <x v="31"/>
    <x v="5"/>
    <n v="-47"/>
  </r>
  <r>
    <x v="32"/>
    <x v="5"/>
    <n v="-30"/>
  </r>
  <r>
    <x v="33"/>
    <x v="5"/>
    <n v="-31"/>
  </r>
  <r>
    <x v="34"/>
    <x v="5"/>
    <n v="-19"/>
  </r>
  <r>
    <x v="35"/>
    <x v="5"/>
    <n v="-18"/>
  </r>
  <r>
    <x v="36"/>
    <x v="5"/>
    <n v="-22"/>
  </r>
  <r>
    <x v="37"/>
    <x v="5"/>
    <n v="-9"/>
  </r>
  <r>
    <x v="38"/>
    <x v="5"/>
    <n v="-14"/>
  </r>
  <r>
    <x v="39"/>
    <x v="5"/>
    <n v="-13"/>
  </r>
  <r>
    <x v="40"/>
    <x v="5"/>
    <n v="-30"/>
  </r>
  <r>
    <x v="41"/>
    <x v="5"/>
    <n v="-35"/>
  </r>
  <r>
    <x v="42"/>
    <x v="5"/>
    <n v="-25"/>
  </r>
  <r>
    <x v="43"/>
    <x v="5"/>
    <n v="-28"/>
  </r>
  <r>
    <x v="44"/>
    <x v="5"/>
    <n v="-47"/>
  </r>
  <r>
    <x v="45"/>
    <x v="5"/>
    <n v="-36"/>
  </r>
  <r>
    <x v="46"/>
    <x v="5"/>
    <n v="-38"/>
  </r>
  <r>
    <x v="47"/>
    <x v="5"/>
    <n v="-37"/>
  </r>
  <r>
    <x v="48"/>
    <x v="5"/>
    <n v="-46"/>
  </r>
  <r>
    <x v="49"/>
    <x v="5"/>
    <n v="-48"/>
  </r>
  <r>
    <x v="50"/>
    <x v="5"/>
    <n v="-38"/>
  </r>
  <r>
    <x v="51"/>
    <x v="5"/>
    <n v="-38"/>
  </r>
  <r>
    <x v="52"/>
    <x v="5"/>
    <n v="-38"/>
  </r>
  <r>
    <x v="53"/>
    <x v="5"/>
    <n v="-33"/>
  </r>
  <r>
    <x v="54"/>
    <x v="5"/>
    <n v="-28"/>
  </r>
  <r>
    <x v="55"/>
    <x v="5"/>
    <n v="-33"/>
  </r>
  <r>
    <x v="56"/>
    <x v="5"/>
    <n v="-27"/>
  </r>
  <r>
    <x v="57"/>
    <x v="5"/>
    <n v="-18"/>
  </r>
  <r>
    <x v="58"/>
    <x v="5"/>
    <n v="-10"/>
  </r>
  <r>
    <x v="59"/>
    <x v="5"/>
    <n v="-9"/>
  </r>
  <r>
    <x v="60"/>
    <x v="5"/>
    <n v="-7"/>
  </r>
  <r>
    <x v="61"/>
    <x v="5"/>
    <n v="-6"/>
  </r>
  <r>
    <x v="62"/>
    <x v="5"/>
    <n v="1"/>
  </r>
  <r>
    <x v="63"/>
    <x v="5"/>
    <n v="9"/>
  </r>
  <r>
    <x v="64"/>
    <x v="5"/>
    <n v="18"/>
  </r>
  <r>
    <x v="65"/>
    <x v="5"/>
    <n v="3"/>
  </r>
  <r>
    <x v="66"/>
    <x v="5"/>
    <n v="-16"/>
  </r>
  <r>
    <x v="67"/>
    <x v="5"/>
    <n v="-13"/>
  </r>
  <r>
    <x v="68"/>
    <x v="5"/>
    <n v="-20"/>
  </r>
  <r>
    <x v="69"/>
    <x v="5"/>
    <n v="-19"/>
  </r>
  <r>
    <x v="70"/>
    <x v="5"/>
    <n v="-14"/>
  </r>
  <r>
    <x v="71"/>
    <x v="5"/>
    <n v="-22"/>
  </r>
  <r>
    <x v="72"/>
    <x v="5"/>
    <n v="-7"/>
  </r>
  <r>
    <x v="73"/>
    <x v="5"/>
    <n v="-14"/>
  </r>
  <r>
    <x v="74"/>
    <x v="5"/>
    <n v="-14"/>
  </r>
  <r>
    <x v="75"/>
    <x v="5"/>
    <n v="-7"/>
  </r>
  <r>
    <x v="76"/>
    <x v="5"/>
    <n v="1"/>
  </r>
  <r>
    <x v="77"/>
    <x v="5"/>
    <n v="-1"/>
  </r>
  <r>
    <x v="78"/>
    <x v="5"/>
    <n v="-17"/>
  </r>
  <r>
    <x v="79"/>
    <x v="5"/>
    <n v="-13"/>
  </r>
  <r>
    <x v="80"/>
    <x v="5"/>
    <n v="-20"/>
  </r>
  <r>
    <x v="81"/>
    <x v="5"/>
    <n v="4"/>
  </r>
  <r>
    <x v="82"/>
    <x v="5"/>
    <n v="-13"/>
  </r>
  <r>
    <x v="83"/>
    <x v="5"/>
    <n v="-12"/>
  </r>
  <r>
    <x v="84"/>
    <x v="5"/>
    <n v="-26"/>
  </r>
  <r>
    <x v="85"/>
    <x v="5"/>
    <n v="-12"/>
  </r>
  <r>
    <x v="86"/>
    <x v="5"/>
    <n v="-16"/>
  </r>
  <r>
    <x v="87"/>
    <x v="5"/>
    <n v="-2"/>
  </r>
  <r>
    <x v="88"/>
    <x v="5"/>
    <n v="-8"/>
  </r>
  <r>
    <x v="89"/>
    <x v="5"/>
    <n v="4"/>
  </r>
  <r>
    <x v="90"/>
    <x v="5"/>
    <n v="11"/>
  </r>
  <r>
    <x v="91"/>
    <x v="5"/>
    <n v="9"/>
  </r>
  <r>
    <x v="92"/>
    <x v="5"/>
    <n v="16"/>
  </r>
  <r>
    <x v="93"/>
    <x v="5"/>
    <n v="14"/>
  </r>
  <r>
    <x v="94"/>
    <x v="5"/>
    <n v="17"/>
  </r>
  <r>
    <x v="95"/>
    <x v="5"/>
    <n v="12"/>
  </r>
  <r>
    <x v="96"/>
    <x v="5"/>
    <n v="2"/>
  </r>
  <r>
    <x v="97"/>
    <x v="5"/>
    <n v="25"/>
  </r>
  <r>
    <x v="98"/>
    <x v="5"/>
    <n v="15"/>
  </r>
  <r>
    <x v="99"/>
    <x v="5"/>
    <n v="25"/>
  </r>
  <r>
    <x v="100"/>
    <x v="5"/>
    <n v="46"/>
  </r>
  <r>
    <x v="101"/>
    <x v="5"/>
    <n v="35"/>
  </r>
  <r>
    <x v="102"/>
    <x v="5"/>
    <n v="14"/>
  </r>
  <r>
    <x v="103"/>
    <x v="5"/>
    <n v="20"/>
  </r>
  <r>
    <x v="104"/>
    <x v="5"/>
    <n v="25"/>
  </r>
  <r>
    <x v="105"/>
    <x v="5"/>
    <n v="29"/>
  </r>
  <r>
    <x v="106"/>
    <x v="5"/>
    <n v="21"/>
  </r>
  <r>
    <x v="107"/>
    <x v="5"/>
    <n v="27"/>
  </r>
  <r>
    <x v="108"/>
    <x v="5"/>
    <n v="42"/>
  </r>
  <r>
    <x v="109"/>
    <x v="5"/>
    <n v="33"/>
  </r>
  <r>
    <x v="110"/>
    <x v="5"/>
    <n v="35"/>
  </r>
  <r>
    <x v="111"/>
    <x v="5"/>
    <n v="43"/>
  </r>
  <r>
    <x v="112"/>
    <x v="5"/>
    <n v="28"/>
  </r>
  <r>
    <x v="113"/>
    <x v="5"/>
    <n v="23"/>
  </r>
  <r>
    <x v="114"/>
    <x v="5"/>
    <n v="21"/>
  </r>
  <r>
    <x v="115"/>
    <x v="5"/>
    <n v="23"/>
  </r>
  <r>
    <x v="116"/>
    <x v="5"/>
    <n v="45"/>
  </r>
  <r>
    <x v="117"/>
    <x v="5"/>
    <n v="34"/>
  </r>
  <r>
    <x v="118"/>
    <x v="5"/>
    <n v="36"/>
  </r>
  <r>
    <x v="119"/>
    <x v="5"/>
    <n v="32"/>
  </r>
  <r>
    <x v="120"/>
    <x v="5"/>
    <n v="33"/>
  </r>
  <r>
    <x v="121"/>
    <x v="5"/>
    <n v="44"/>
  </r>
  <r>
    <x v="122"/>
    <x v="5"/>
    <n v="48"/>
  </r>
  <r>
    <x v="123"/>
    <x v="5"/>
    <n v="41"/>
  </r>
  <r>
    <x v="124"/>
    <x v="5"/>
    <n v="32"/>
  </r>
  <r>
    <x v="125"/>
    <x v="5"/>
    <n v="45"/>
  </r>
  <r>
    <x v="126"/>
    <x v="5"/>
    <n v="40"/>
  </r>
  <r>
    <x v="127"/>
    <x v="5"/>
    <n v="48"/>
  </r>
  <r>
    <x v="128"/>
    <x v="5"/>
    <n v="40"/>
  </r>
  <r>
    <x v="129"/>
    <x v="5"/>
    <n v="51"/>
  </r>
  <r>
    <x v="130"/>
    <x v="5"/>
    <n v="48"/>
  </r>
  <r>
    <x v="131"/>
    <x v="5"/>
    <n v="58"/>
  </r>
  <r>
    <x v="132"/>
    <x v="5"/>
    <n v="44"/>
  </r>
  <r>
    <x v="133"/>
    <x v="5"/>
    <n v="54"/>
  </r>
  <r>
    <x v="134"/>
    <x v="5"/>
    <n v="54"/>
  </r>
  <r>
    <x v="0"/>
    <x v="6"/>
    <n v="-89"/>
  </r>
  <r>
    <x v="1"/>
    <x v="6"/>
    <n v="-54"/>
  </r>
  <r>
    <x v="2"/>
    <x v="6"/>
    <n v="-125"/>
  </r>
  <r>
    <x v="3"/>
    <x v="6"/>
    <n v="-28"/>
  </r>
  <r>
    <x v="4"/>
    <x v="6"/>
    <n v="-127"/>
  </r>
  <r>
    <x v="5"/>
    <x v="6"/>
    <n v="-119"/>
  </r>
  <r>
    <x v="6"/>
    <x v="6"/>
    <n v="-124"/>
  </r>
  <r>
    <x v="7"/>
    <x v="6"/>
    <n v="-158"/>
  </r>
  <r>
    <x v="8"/>
    <x v="6"/>
    <n v="-141"/>
  </r>
  <r>
    <x v="9"/>
    <x v="6"/>
    <n v="-82"/>
  </r>
  <r>
    <x v="10"/>
    <x v="6"/>
    <n v="-127"/>
  </r>
  <r>
    <x v="11"/>
    <x v="6"/>
    <n v="-118"/>
  </r>
  <r>
    <x v="12"/>
    <x v="6"/>
    <n v="-119"/>
  </r>
  <r>
    <x v="13"/>
    <x v="6"/>
    <n v="-76"/>
  </r>
  <r>
    <x v="14"/>
    <x v="6"/>
    <n v="-121"/>
  </r>
  <r>
    <x v="15"/>
    <x v="6"/>
    <n v="-86"/>
  </r>
  <r>
    <x v="16"/>
    <x v="6"/>
    <n v="-113"/>
  </r>
  <r>
    <x v="17"/>
    <x v="6"/>
    <n v="-73"/>
  </r>
  <r>
    <x v="18"/>
    <x v="6"/>
    <n v="-121"/>
  </r>
  <r>
    <x v="19"/>
    <x v="6"/>
    <n v="-99"/>
  </r>
  <r>
    <x v="20"/>
    <x v="6"/>
    <n v="-50"/>
  </r>
  <r>
    <x v="21"/>
    <x v="6"/>
    <n v="-41"/>
  </r>
  <r>
    <x v="22"/>
    <x v="6"/>
    <n v="-145"/>
  </r>
  <r>
    <x v="23"/>
    <x v="6"/>
    <n v="-37"/>
  </r>
  <r>
    <x v="24"/>
    <x v="6"/>
    <n v="-23"/>
  </r>
  <r>
    <x v="25"/>
    <x v="6"/>
    <n v="-12"/>
  </r>
  <r>
    <x v="26"/>
    <x v="6"/>
    <n v="-29"/>
  </r>
  <r>
    <x v="27"/>
    <x v="6"/>
    <n v="-68"/>
  </r>
  <r>
    <x v="28"/>
    <x v="6"/>
    <n v="-39"/>
  </r>
  <r>
    <x v="29"/>
    <x v="6"/>
    <n v="-72"/>
  </r>
  <r>
    <x v="30"/>
    <x v="6"/>
    <n v="-62"/>
  </r>
  <r>
    <x v="31"/>
    <x v="6"/>
    <n v="-24"/>
  </r>
  <r>
    <x v="32"/>
    <x v="6"/>
    <n v="-60"/>
  </r>
  <r>
    <x v="33"/>
    <x v="6"/>
    <n v="-51"/>
  </r>
  <r>
    <x v="34"/>
    <x v="6"/>
    <n v="-50"/>
  </r>
  <r>
    <x v="35"/>
    <x v="6"/>
    <n v="-50"/>
  </r>
  <r>
    <x v="36"/>
    <x v="6"/>
    <n v="-25"/>
  </r>
  <r>
    <x v="37"/>
    <x v="6"/>
    <n v="-64"/>
  </r>
  <r>
    <x v="38"/>
    <x v="6"/>
    <n v="-108"/>
  </r>
  <r>
    <x v="39"/>
    <x v="6"/>
    <n v="-80"/>
  </r>
  <r>
    <x v="40"/>
    <x v="6"/>
    <n v="13"/>
  </r>
  <r>
    <x v="41"/>
    <x v="6"/>
    <n v="5"/>
  </r>
  <r>
    <x v="42"/>
    <x v="6"/>
    <n v="-22"/>
  </r>
  <r>
    <x v="43"/>
    <x v="6"/>
    <n v="29"/>
  </r>
  <r>
    <x v="44"/>
    <x v="6"/>
    <n v="38"/>
  </r>
  <r>
    <x v="45"/>
    <x v="6"/>
    <n v="-4"/>
  </r>
  <r>
    <x v="46"/>
    <x v="6"/>
    <n v="52"/>
  </r>
  <r>
    <x v="47"/>
    <x v="6"/>
    <n v="-4"/>
  </r>
  <r>
    <x v="48"/>
    <x v="6"/>
    <n v="59"/>
  </r>
  <r>
    <x v="49"/>
    <x v="6"/>
    <n v="1"/>
  </r>
  <r>
    <x v="50"/>
    <x v="6"/>
    <n v="48"/>
  </r>
  <r>
    <x v="51"/>
    <x v="6"/>
    <n v="48"/>
  </r>
  <r>
    <x v="52"/>
    <x v="6"/>
    <n v="25"/>
  </r>
  <r>
    <x v="53"/>
    <x v="6"/>
    <n v="-29"/>
  </r>
  <r>
    <x v="54"/>
    <x v="6"/>
    <n v="74"/>
  </r>
  <r>
    <x v="55"/>
    <x v="6"/>
    <n v="22"/>
  </r>
  <r>
    <x v="56"/>
    <x v="6"/>
    <n v="24"/>
  </r>
  <r>
    <x v="57"/>
    <x v="6"/>
    <n v="108"/>
  </r>
  <r>
    <x v="58"/>
    <x v="6"/>
    <n v="123"/>
  </r>
  <r>
    <x v="59"/>
    <x v="6"/>
    <n v="51"/>
  </r>
  <r>
    <x v="60"/>
    <x v="6"/>
    <n v="88"/>
  </r>
  <r>
    <x v="61"/>
    <x v="6"/>
    <n v="-21"/>
  </r>
  <r>
    <x v="62"/>
    <x v="6"/>
    <n v="36"/>
  </r>
  <r>
    <x v="63"/>
    <x v="6"/>
    <n v="118"/>
  </r>
  <r>
    <x v="64"/>
    <x v="6"/>
    <n v="103"/>
  </r>
  <r>
    <x v="65"/>
    <x v="6"/>
    <n v="45"/>
  </r>
  <r>
    <x v="66"/>
    <x v="6"/>
    <n v="-15"/>
  </r>
  <r>
    <x v="67"/>
    <x v="6"/>
    <n v="100"/>
  </r>
  <r>
    <x v="68"/>
    <x v="6"/>
    <n v="8"/>
  </r>
  <r>
    <x v="69"/>
    <x v="6"/>
    <n v="22"/>
  </r>
  <r>
    <x v="70"/>
    <x v="6"/>
    <n v="4"/>
  </r>
  <r>
    <x v="71"/>
    <x v="6"/>
    <n v="1"/>
  </r>
  <r>
    <x v="72"/>
    <x v="6"/>
    <n v="10"/>
  </r>
  <r>
    <x v="73"/>
    <x v="6"/>
    <n v="81"/>
  </r>
  <r>
    <x v="74"/>
    <x v="6"/>
    <n v="58"/>
  </r>
  <r>
    <x v="75"/>
    <x v="6"/>
    <n v="-43"/>
  </r>
  <r>
    <x v="76"/>
    <x v="6"/>
    <n v="-21"/>
  </r>
  <r>
    <x v="77"/>
    <x v="6"/>
    <n v="3"/>
  </r>
  <r>
    <x v="78"/>
    <x v="6"/>
    <n v="-15"/>
  </r>
  <r>
    <x v="79"/>
    <x v="6"/>
    <n v="50"/>
  </r>
  <r>
    <x v="80"/>
    <x v="6"/>
    <n v="35"/>
  </r>
  <r>
    <x v="81"/>
    <x v="6"/>
    <n v="-18"/>
  </r>
  <r>
    <x v="82"/>
    <x v="6"/>
    <n v="58"/>
  </r>
  <r>
    <x v="83"/>
    <x v="6"/>
    <n v="-5"/>
  </r>
  <r>
    <x v="84"/>
    <x v="6"/>
    <n v="-67"/>
  </r>
  <r>
    <x v="85"/>
    <x v="6"/>
    <n v="-20"/>
  </r>
  <r>
    <x v="86"/>
    <x v="6"/>
    <n v="-67"/>
  </r>
  <r>
    <x v="87"/>
    <x v="6"/>
    <n v="43"/>
  </r>
  <r>
    <x v="88"/>
    <x v="6"/>
    <n v="-17"/>
  </r>
  <r>
    <x v="89"/>
    <x v="6"/>
    <n v="5"/>
  </r>
  <r>
    <x v="90"/>
    <x v="6"/>
    <n v="-17"/>
  </r>
  <r>
    <x v="91"/>
    <x v="6"/>
    <n v="-6"/>
  </r>
  <r>
    <x v="92"/>
    <x v="6"/>
    <n v="-45"/>
  </r>
  <r>
    <x v="93"/>
    <x v="6"/>
    <n v="20"/>
  </r>
  <r>
    <x v="94"/>
    <x v="6"/>
    <n v="-29"/>
  </r>
  <r>
    <x v="95"/>
    <x v="6"/>
    <n v="22"/>
  </r>
  <r>
    <x v="96"/>
    <x v="6"/>
    <n v="-4"/>
  </r>
  <r>
    <x v="97"/>
    <x v="6"/>
    <n v="24"/>
  </r>
  <r>
    <x v="98"/>
    <x v="6"/>
    <n v="-8"/>
  </r>
  <r>
    <x v="99"/>
    <x v="6"/>
    <n v="-59"/>
  </r>
  <r>
    <x v="100"/>
    <x v="6"/>
    <n v="32"/>
  </r>
  <r>
    <x v="101"/>
    <x v="6"/>
    <n v="129"/>
  </r>
  <r>
    <x v="102"/>
    <x v="6"/>
    <n v="-27"/>
  </r>
  <r>
    <x v="103"/>
    <x v="6"/>
    <n v="32"/>
  </r>
  <r>
    <x v="104"/>
    <x v="6"/>
    <n v="39"/>
  </r>
  <r>
    <x v="105"/>
    <x v="6"/>
    <n v="41"/>
  </r>
  <r>
    <x v="106"/>
    <x v="6"/>
    <n v="7"/>
  </r>
  <r>
    <x v="107"/>
    <x v="6"/>
    <n v="-26"/>
  </r>
  <r>
    <x v="108"/>
    <x v="6"/>
    <n v="75"/>
  </r>
  <r>
    <x v="109"/>
    <x v="6"/>
    <n v="40"/>
  </r>
  <r>
    <x v="110"/>
    <x v="6"/>
    <n v="60"/>
  </r>
  <r>
    <x v="111"/>
    <x v="6"/>
    <n v="74"/>
  </r>
  <r>
    <x v="112"/>
    <x v="6"/>
    <n v="-19"/>
  </r>
  <r>
    <x v="113"/>
    <x v="6"/>
    <n v="63"/>
  </r>
  <r>
    <x v="114"/>
    <x v="6"/>
    <n v="36"/>
  </r>
  <r>
    <x v="115"/>
    <x v="6"/>
    <n v="140"/>
  </r>
  <r>
    <x v="116"/>
    <x v="6"/>
    <n v="79"/>
  </r>
  <r>
    <x v="117"/>
    <x v="6"/>
    <n v="78"/>
  </r>
  <r>
    <x v="118"/>
    <x v="6"/>
    <n v="91"/>
  </r>
  <r>
    <x v="119"/>
    <x v="6"/>
    <n v="47"/>
  </r>
  <r>
    <x v="120"/>
    <x v="6"/>
    <n v="110"/>
  </r>
  <r>
    <x v="121"/>
    <x v="6"/>
    <n v="104"/>
  </r>
  <r>
    <x v="122"/>
    <x v="6"/>
    <n v="126"/>
  </r>
  <r>
    <x v="123"/>
    <x v="6"/>
    <n v="143"/>
  </r>
  <r>
    <x v="124"/>
    <x v="6"/>
    <n v="64"/>
  </r>
  <r>
    <x v="125"/>
    <x v="6"/>
    <n v="200"/>
  </r>
  <r>
    <x v="126"/>
    <x v="6"/>
    <n v="173"/>
  </r>
  <r>
    <x v="127"/>
    <x v="6"/>
    <n v="201"/>
  </r>
  <r>
    <x v="128"/>
    <x v="6"/>
    <n v="144"/>
  </r>
  <r>
    <x v="129"/>
    <x v="6"/>
    <n v="127"/>
  </r>
  <r>
    <x v="130"/>
    <x v="6"/>
    <n v="199"/>
  </r>
  <r>
    <x v="131"/>
    <x v="6"/>
    <n v="211"/>
  </r>
  <r>
    <x v="132"/>
    <x v="6"/>
    <n v="189"/>
  </r>
  <r>
    <x v="133"/>
    <x v="6"/>
    <n v="123"/>
  </r>
  <r>
    <x v="134"/>
    <x v="6"/>
    <n v="185"/>
  </r>
  <r>
    <x v="0"/>
    <x v="7"/>
    <n v="-54"/>
  </r>
  <r>
    <x v="1"/>
    <x v="7"/>
    <n v="-40"/>
  </r>
  <r>
    <x v="2"/>
    <x v="7"/>
    <n v="-20"/>
  </r>
  <r>
    <x v="3"/>
    <x v="7"/>
    <n v="-57"/>
  </r>
  <r>
    <x v="4"/>
    <x v="7"/>
    <n v="-58"/>
  </r>
  <r>
    <x v="5"/>
    <x v="7"/>
    <n v="-70"/>
  </r>
  <r>
    <x v="6"/>
    <x v="7"/>
    <n v="-43"/>
  </r>
  <r>
    <x v="7"/>
    <x v="7"/>
    <n v="-52"/>
  </r>
  <r>
    <x v="8"/>
    <x v="7"/>
    <n v="-43"/>
  </r>
  <r>
    <x v="9"/>
    <x v="7"/>
    <n v="-13"/>
  </r>
  <r>
    <x v="10"/>
    <x v="7"/>
    <n v="-41"/>
  </r>
  <r>
    <x v="11"/>
    <x v="7"/>
    <n v="-17"/>
  </r>
  <r>
    <x v="12"/>
    <x v="7"/>
    <n v="-30"/>
  </r>
  <r>
    <x v="13"/>
    <x v="7"/>
    <n v="-35"/>
  </r>
  <r>
    <x v="14"/>
    <x v="7"/>
    <n v="-17"/>
  </r>
  <r>
    <x v="15"/>
    <x v="7"/>
    <n v="-38"/>
  </r>
  <r>
    <x v="16"/>
    <x v="7"/>
    <n v="-34"/>
  </r>
  <r>
    <x v="17"/>
    <x v="7"/>
    <n v="-31"/>
  </r>
  <r>
    <x v="18"/>
    <x v="7"/>
    <n v="-2"/>
  </r>
  <r>
    <x v="19"/>
    <x v="7"/>
    <n v="4"/>
  </r>
  <r>
    <x v="20"/>
    <x v="7"/>
    <n v="-3"/>
  </r>
  <r>
    <x v="21"/>
    <x v="7"/>
    <n v="-1"/>
  </r>
  <r>
    <x v="22"/>
    <x v="7"/>
    <n v="-40"/>
  </r>
  <r>
    <x v="23"/>
    <x v="7"/>
    <n v="-30"/>
  </r>
  <r>
    <x v="24"/>
    <x v="7"/>
    <n v="-53"/>
  </r>
  <r>
    <x v="25"/>
    <x v="7"/>
    <n v="-16"/>
  </r>
  <r>
    <x v="26"/>
    <x v="7"/>
    <n v="4"/>
  </r>
  <r>
    <x v="27"/>
    <x v="7"/>
    <n v="-69"/>
  </r>
  <r>
    <x v="28"/>
    <x v="7"/>
    <n v="-50"/>
  </r>
  <r>
    <x v="29"/>
    <x v="7"/>
    <n v="-49"/>
  </r>
  <r>
    <x v="30"/>
    <x v="7"/>
    <n v="-13"/>
  </r>
  <r>
    <x v="31"/>
    <x v="7"/>
    <n v="-36"/>
  </r>
  <r>
    <x v="32"/>
    <x v="7"/>
    <n v="-70"/>
  </r>
  <r>
    <x v="33"/>
    <x v="7"/>
    <n v="-27"/>
  </r>
  <r>
    <x v="34"/>
    <x v="7"/>
    <n v="-6"/>
  </r>
  <r>
    <x v="35"/>
    <x v="7"/>
    <n v="-6"/>
  </r>
  <r>
    <x v="36"/>
    <x v="7"/>
    <n v="-43"/>
  </r>
  <r>
    <x v="37"/>
    <x v="7"/>
    <n v="-39"/>
  </r>
  <r>
    <x v="38"/>
    <x v="7"/>
    <n v="-13"/>
  </r>
  <r>
    <x v="39"/>
    <x v="7"/>
    <n v="-44"/>
  </r>
  <r>
    <x v="40"/>
    <x v="7"/>
    <n v="-8"/>
  </r>
  <r>
    <x v="41"/>
    <x v="7"/>
    <n v="24"/>
  </r>
  <r>
    <x v="42"/>
    <x v="7"/>
    <n v="-31"/>
  </r>
  <r>
    <x v="43"/>
    <x v="7"/>
    <n v="-3"/>
  </r>
  <r>
    <x v="44"/>
    <x v="7"/>
    <n v="-15"/>
  </r>
  <r>
    <x v="45"/>
    <x v="7"/>
    <n v="27"/>
  </r>
  <r>
    <x v="46"/>
    <x v="7"/>
    <n v="25"/>
  </r>
  <r>
    <x v="47"/>
    <x v="7"/>
    <n v="-12"/>
  </r>
  <r>
    <x v="48"/>
    <x v="7"/>
    <n v="-7"/>
  </r>
  <r>
    <x v="49"/>
    <x v="7"/>
    <n v="-50"/>
  </r>
  <r>
    <x v="50"/>
    <x v="7"/>
    <n v="16"/>
  </r>
  <r>
    <x v="51"/>
    <x v="7"/>
    <n v="8"/>
  </r>
  <r>
    <x v="52"/>
    <x v="7"/>
    <n v="31"/>
  </r>
  <r>
    <x v="53"/>
    <x v="7"/>
    <n v="-38"/>
  </r>
  <r>
    <x v="54"/>
    <x v="7"/>
    <n v="40"/>
  </r>
  <r>
    <x v="55"/>
    <x v="7"/>
    <n v="7"/>
  </r>
  <r>
    <x v="56"/>
    <x v="7"/>
    <n v="18"/>
  </r>
  <r>
    <x v="57"/>
    <x v="7"/>
    <n v="8"/>
  </r>
  <r>
    <x v="58"/>
    <x v="7"/>
    <n v="44"/>
  </r>
  <r>
    <x v="59"/>
    <x v="7"/>
    <n v="33"/>
  </r>
  <r>
    <x v="60"/>
    <x v="7"/>
    <n v="3"/>
  </r>
  <r>
    <x v="61"/>
    <x v="7"/>
    <n v="-11"/>
  </r>
  <r>
    <x v="62"/>
    <x v="7"/>
    <n v="0"/>
  </r>
  <r>
    <x v="63"/>
    <x v="7"/>
    <n v="33"/>
  </r>
  <r>
    <x v="64"/>
    <x v="7"/>
    <n v="50"/>
  </r>
  <r>
    <x v="65"/>
    <x v="7"/>
    <n v="-1"/>
  </r>
  <r>
    <x v="66"/>
    <x v="7"/>
    <n v="2"/>
  </r>
  <r>
    <x v="67"/>
    <x v="7"/>
    <n v="-15"/>
  </r>
  <r>
    <x v="68"/>
    <x v="7"/>
    <n v="36"/>
  </r>
  <r>
    <x v="69"/>
    <x v="7"/>
    <n v="17"/>
  </r>
  <r>
    <x v="70"/>
    <x v="7"/>
    <n v="-34"/>
  </r>
  <r>
    <x v="71"/>
    <x v="7"/>
    <n v="3"/>
  </r>
  <r>
    <x v="72"/>
    <x v="7"/>
    <n v="-7"/>
  </r>
  <r>
    <x v="73"/>
    <x v="7"/>
    <n v="37"/>
  </r>
  <r>
    <x v="74"/>
    <x v="7"/>
    <n v="-20"/>
  </r>
  <r>
    <x v="75"/>
    <x v="7"/>
    <n v="-7"/>
  </r>
  <r>
    <x v="76"/>
    <x v="7"/>
    <n v="-47"/>
  </r>
  <r>
    <x v="77"/>
    <x v="7"/>
    <n v="22"/>
  </r>
  <r>
    <x v="78"/>
    <x v="7"/>
    <n v="18"/>
  </r>
  <r>
    <x v="79"/>
    <x v="7"/>
    <n v="17"/>
  </r>
  <r>
    <x v="80"/>
    <x v="7"/>
    <n v="-6"/>
  </r>
  <r>
    <x v="81"/>
    <x v="7"/>
    <n v="37"/>
  </r>
  <r>
    <x v="82"/>
    <x v="7"/>
    <n v="34"/>
  </r>
  <r>
    <x v="83"/>
    <x v="7"/>
    <n v="32"/>
  </r>
  <r>
    <x v="84"/>
    <x v="7"/>
    <n v="-22"/>
  </r>
  <r>
    <x v="85"/>
    <x v="7"/>
    <n v="-24"/>
  </r>
  <r>
    <x v="86"/>
    <x v="7"/>
    <n v="-16"/>
  </r>
  <r>
    <x v="87"/>
    <x v="7"/>
    <n v="26"/>
  </r>
  <r>
    <x v="88"/>
    <x v="7"/>
    <n v="-2"/>
  </r>
  <r>
    <x v="89"/>
    <x v="7"/>
    <n v="-59"/>
  </r>
  <r>
    <x v="90"/>
    <x v="7"/>
    <n v="-14"/>
  </r>
  <r>
    <x v="91"/>
    <x v="7"/>
    <n v="0"/>
  </r>
  <r>
    <x v="92"/>
    <x v="7"/>
    <n v="-49"/>
  </r>
  <r>
    <x v="93"/>
    <x v="7"/>
    <n v="26"/>
  </r>
  <r>
    <x v="94"/>
    <x v="7"/>
    <n v="-11"/>
  </r>
  <r>
    <x v="95"/>
    <x v="7"/>
    <n v="35"/>
  </r>
  <r>
    <x v="96"/>
    <x v="7"/>
    <n v="-33"/>
  </r>
  <r>
    <x v="97"/>
    <x v="7"/>
    <n v="22"/>
  </r>
  <r>
    <x v="98"/>
    <x v="7"/>
    <n v="0"/>
  </r>
  <r>
    <x v="99"/>
    <x v="7"/>
    <n v="6"/>
  </r>
  <r>
    <x v="100"/>
    <x v="7"/>
    <n v="1"/>
  </r>
  <r>
    <x v="101"/>
    <x v="7"/>
    <n v="77"/>
  </r>
  <r>
    <x v="102"/>
    <x v="7"/>
    <n v="7"/>
  </r>
  <r>
    <x v="103"/>
    <x v="7"/>
    <n v="67"/>
  </r>
  <r>
    <x v="104"/>
    <x v="7"/>
    <n v="7"/>
  </r>
  <r>
    <x v="105"/>
    <x v="7"/>
    <n v="-27"/>
  </r>
  <r>
    <x v="106"/>
    <x v="7"/>
    <n v="24"/>
  </r>
  <r>
    <x v="107"/>
    <x v="7"/>
    <n v="13"/>
  </r>
  <r>
    <x v="108"/>
    <x v="7"/>
    <n v="49"/>
  </r>
  <r>
    <x v="109"/>
    <x v="7"/>
    <n v="67"/>
  </r>
  <r>
    <x v="110"/>
    <x v="7"/>
    <n v="83"/>
  </r>
  <r>
    <x v="111"/>
    <x v="7"/>
    <n v="59"/>
  </r>
  <r>
    <x v="112"/>
    <x v="7"/>
    <n v="37"/>
  </r>
  <r>
    <x v="113"/>
    <x v="7"/>
    <n v="23"/>
  </r>
  <r>
    <x v="114"/>
    <x v="7"/>
    <n v="46"/>
  </r>
  <r>
    <x v="115"/>
    <x v="7"/>
    <n v="95"/>
  </r>
  <r>
    <x v="116"/>
    <x v="7"/>
    <n v="19"/>
  </r>
  <r>
    <x v="117"/>
    <x v="7"/>
    <n v="87"/>
  </r>
  <r>
    <x v="118"/>
    <x v="7"/>
    <n v="92"/>
  </r>
  <r>
    <x v="119"/>
    <x v="7"/>
    <n v="82"/>
  </r>
  <r>
    <x v="120"/>
    <x v="7"/>
    <n v="75"/>
  </r>
  <r>
    <x v="121"/>
    <x v="7"/>
    <n v="81"/>
  </r>
  <r>
    <x v="122"/>
    <x v="7"/>
    <n v="96"/>
  </r>
  <r>
    <x v="123"/>
    <x v="7"/>
    <n v="94"/>
  </r>
  <r>
    <x v="124"/>
    <x v="7"/>
    <n v="92"/>
  </r>
  <r>
    <x v="125"/>
    <x v="7"/>
    <n v="116"/>
  </r>
  <r>
    <x v="126"/>
    <x v="7"/>
    <n v="105"/>
  </r>
  <r>
    <x v="127"/>
    <x v="7"/>
    <n v="129"/>
  </r>
  <r>
    <x v="128"/>
    <x v="7"/>
    <n v="102"/>
  </r>
  <r>
    <x v="129"/>
    <x v="7"/>
    <n v="58"/>
  </r>
  <r>
    <x v="130"/>
    <x v="7"/>
    <n v="86"/>
  </r>
  <r>
    <x v="131"/>
    <x v="7"/>
    <n v="90"/>
  </r>
  <r>
    <x v="132"/>
    <x v="7"/>
    <n v="89"/>
  </r>
  <r>
    <x v="133"/>
    <x v="7"/>
    <n v="103"/>
  </r>
  <r>
    <x v="134"/>
    <x v="7"/>
    <n v="113"/>
  </r>
  <r>
    <x v="0"/>
    <x v="8"/>
    <n v="-22"/>
  </r>
  <r>
    <x v="1"/>
    <x v="8"/>
    <n v="-14"/>
  </r>
  <r>
    <x v="2"/>
    <x v="8"/>
    <n v="-3"/>
  </r>
  <r>
    <x v="3"/>
    <x v="8"/>
    <n v="-20"/>
  </r>
  <r>
    <x v="4"/>
    <x v="8"/>
    <n v="-41"/>
  </r>
  <r>
    <x v="5"/>
    <x v="8"/>
    <n v="-43"/>
  </r>
  <r>
    <x v="6"/>
    <x v="8"/>
    <n v="-38"/>
  </r>
  <r>
    <x v="7"/>
    <x v="8"/>
    <n v="-21"/>
  </r>
  <r>
    <x v="8"/>
    <x v="8"/>
    <n v="-22"/>
  </r>
  <r>
    <x v="9"/>
    <x v="8"/>
    <n v="-21"/>
  </r>
  <r>
    <x v="10"/>
    <x v="8"/>
    <n v="-30"/>
  </r>
  <r>
    <x v="11"/>
    <x v="8"/>
    <n v="-27"/>
  </r>
  <r>
    <x v="12"/>
    <x v="8"/>
    <n v="-12"/>
  </r>
  <r>
    <x v="13"/>
    <x v="8"/>
    <n v="-30"/>
  </r>
  <r>
    <x v="14"/>
    <x v="8"/>
    <n v="-9"/>
  </r>
  <r>
    <x v="15"/>
    <x v="8"/>
    <n v="-18"/>
  </r>
  <r>
    <x v="16"/>
    <x v="8"/>
    <n v="-12"/>
  </r>
  <r>
    <x v="17"/>
    <x v="8"/>
    <n v="-19"/>
  </r>
  <r>
    <x v="18"/>
    <x v="8"/>
    <n v="-21"/>
  </r>
  <r>
    <x v="19"/>
    <x v="8"/>
    <n v="-12"/>
  </r>
  <r>
    <x v="20"/>
    <x v="8"/>
    <n v="-8"/>
  </r>
  <r>
    <x v="21"/>
    <x v="8"/>
    <n v="-9"/>
  </r>
  <r>
    <x v="22"/>
    <x v="8"/>
    <n v="-26"/>
  </r>
  <r>
    <x v="23"/>
    <x v="8"/>
    <n v="-46"/>
  </r>
  <r>
    <x v="24"/>
    <x v="8"/>
    <n v="-47"/>
  </r>
  <r>
    <x v="25"/>
    <x v="8"/>
    <n v="-57"/>
  </r>
  <r>
    <x v="26"/>
    <x v="8"/>
    <n v="-32"/>
  </r>
  <r>
    <x v="27"/>
    <x v="8"/>
    <n v="-44"/>
  </r>
  <r>
    <x v="28"/>
    <x v="8"/>
    <n v="-45"/>
  </r>
  <r>
    <x v="29"/>
    <x v="8"/>
    <n v="-40"/>
  </r>
  <r>
    <x v="30"/>
    <x v="8"/>
    <n v="-44"/>
  </r>
  <r>
    <x v="31"/>
    <x v="8"/>
    <n v="-43"/>
  </r>
  <r>
    <x v="32"/>
    <x v="8"/>
    <n v="-48"/>
  </r>
  <r>
    <x v="33"/>
    <x v="8"/>
    <n v="-46"/>
  </r>
  <r>
    <x v="34"/>
    <x v="8"/>
    <n v="-25"/>
  </r>
  <r>
    <x v="35"/>
    <x v="8"/>
    <n v="-13"/>
  </r>
  <r>
    <x v="36"/>
    <x v="8"/>
    <n v="-19"/>
  </r>
  <r>
    <x v="37"/>
    <x v="8"/>
    <n v="-36"/>
  </r>
  <r>
    <x v="38"/>
    <x v="8"/>
    <n v="-23"/>
  </r>
  <r>
    <x v="39"/>
    <x v="8"/>
    <n v="-25"/>
  </r>
  <r>
    <x v="40"/>
    <x v="8"/>
    <n v="-29"/>
  </r>
  <r>
    <x v="41"/>
    <x v="8"/>
    <n v="-4"/>
  </r>
  <r>
    <x v="42"/>
    <x v="8"/>
    <n v="-8"/>
  </r>
  <r>
    <x v="43"/>
    <x v="8"/>
    <n v="-21"/>
  </r>
  <r>
    <x v="44"/>
    <x v="8"/>
    <n v="-16"/>
  </r>
  <r>
    <x v="45"/>
    <x v="8"/>
    <n v="-11"/>
  </r>
  <r>
    <x v="46"/>
    <x v="8"/>
    <n v="-18"/>
  </r>
  <r>
    <x v="47"/>
    <x v="8"/>
    <n v="-9"/>
  </r>
  <r>
    <x v="48"/>
    <x v="8"/>
    <n v="-18"/>
  </r>
  <r>
    <x v="49"/>
    <x v="8"/>
    <n v="-33"/>
  </r>
  <r>
    <x v="50"/>
    <x v="8"/>
    <n v="-5"/>
  </r>
  <r>
    <x v="51"/>
    <x v="8"/>
    <n v="-10"/>
  </r>
  <r>
    <x v="52"/>
    <x v="8"/>
    <n v="-15"/>
  </r>
  <r>
    <x v="53"/>
    <x v="8"/>
    <n v="-8"/>
  </r>
  <r>
    <x v="54"/>
    <x v="8"/>
    <n v="-8"/>
  </r>
  <r>
    <x v="55"/>
    <x v="8"/>
    <n v="-11"/>
  </r>
  <r>
    <x v="56"/>
    <x v="8"/>
    <n v="-21"/>
  </r>
  <r>
    <x v="57"/>
    <x v="8"/>
    <n v="2"/>
  </r>
  <r>
    <x v="58"/>
    <x v="8"/>
    <n v="6"/>
  </r>
  <r>
    <x v="59"/>
    <x v="8"/>
    <n v="10"/>
  </r>
  <r>
    <x v="60"/>
    <x v="8"/>
    <n v="-10"/>
  </r>
  <r>
    <x v="61"/>
    <x v="8"/>
    <n v="7"/>
  </r>
  <r>
    <x v="62"/>
    <x v="8"/>
    <n v="15"/>
  </r>
  <r>
    <x v="63"/>
    <x v="8"/>
    <n v="16"/>
  </r>
  <r>
    <x v="64"/>
    <x v="8"/>
    <n v="14"/>
  </r>
  <r>
    <x v="65"/>
    <x v="8"/>
    <n v="6"/>
  </r>
  <r>
    <x v="66"/>
    <x v="8"/>
    <n v="20"/>
  </r>
  <r>
    <x v="67"/>
    <x v="8"/>
    <n v="6"/>
  </r>
  <r>
    <x v="68"/>
    <x v="8"/>
    <n v="2"/>
  </r>
  <r>
    <x v="69"/>
    <x v="8"/>
    <n v="7"/>
  </r>
  <r>
    <x v="70"/>
    <x v="8"/>
    <n v="4"/>
  </r>
  <r>
    <x v="71"/>
    <x v="8"/>
    <n v="12"/>
  </r>
  <r>
    <x v="72"/>
    <x v="8"/>
    <n v="18"/>
  </r>
  <r>
    <x v="73"/>
    <x v="8"/>
    <n v="15"/>
  </r>
  <r>
    <x v="74"/>
    <x v="8"/>
    <n v="-1"/>
  </r>
  <r>
    <x v="75"/>
    <x v="8"/>
    <n v="23"/>
  </r>
  <r>
    <x v="76"/>
    <x v="8"/>
    <n v="-10"/>
  </r>
  <r>
    <x v="77"/>
    <x v="8"/>
    <n v="-11"/>
  </r>
  <r>
    <x v="78"/>
    <x v="8"/>
    <n v="12"/>
  </r>
  <r>
    <x v="79"/>
    <x v="8"/>
    <n v="2"/>
  </r>
  <r>
    <x v="80"/>
    <x v="8"/>
    <n v="10"/>
  </r>
  <r>
    <x v="81"/>
    <x v="8"/>
    <n v="17"/>
  </r>
  <r>
    <x v="82"/>
    <x v="8"/>
    <n v="14"/>
  </r>
  <r>
    <x v="83"/>
    <x v="8"/>
    <n v="13"/>
  </r>
  <r>
    <x v="84"/>
    <x v="8"/>
    <n v="-11"/>
  </r>
  <r>
    <x v="85"/>
    <x v="8"/>
    <n v="-11"/>
  </r>
  <r>
    <x v="86"/>
    <x v="8"/>
    <n v="8"/>
  </r>
  <r>
    <x v="87"/>
    <x v="8"/>
    <n v="-6"/>
  </r>
  <r>
    <x v="88"/>
    <x v="8"/>
    <n v="-8"/>
  </r>
  <r>
    <x v="89"/>
    <x v="8"/>
    <n v="-15"/>
  </r>
  <r>
    <x v="90"/>
    <x v="8"/>
    <n v="-6"/>
  </r>
  <r>
    <x v="91"/>
    <x v="8"/>
    <n v="-10"/>
  </r>
  <r>
    <x v="92"/>
    <x v="8"/>
    <n v="-22"/>
  </r>
  <r>
    <x v="93"/>
    <x v="8"/>
    <n v="2"/>
  </r>
  <r>
    <x v="94"/>
    <x v="8"/>
    <n v="-18"/>
  </r>
  <r>
    <x v="95"/>
    <x v="8"/>
    <n v="-6"/>
  </r>
  <r>
    <x v="96"/>
    <x v="8"/>
    <n v="-28"/>
  </r>
  <r>
    <x v="97"/>
    <x v="8"/>
    <n v="7"/>
  </r>
  <r>
    <x v="98"/>
    <x v="8"/>
    <n v="-3"/>
  </r>
  <r>
    <x v="99"/>
    <x v="8"/>
    <n v="9"/>
  </r>
  <r>
    <x v="100"/>
    <x v="8"/>
    <n v="2"/>
  </r>
  <r>
    <x v="101"/>
    <x v="8"/>
    <n v="9"/>
  </r>
  <r>
    <x v="102"/>
    <x v="8"/>
    <n v="-8"/>
  </r>
  <r>
    <x v="103"/>
    <x v="8"/>
    <n v="-6"/>
  </r>
  <r>
    <x v="104"/>
    <x v="8"/>
    <n v="-12"/>
  </r>
  <r>
    <x v="105"/>
    <x v="8"/>
    <n v="-1"/>
  </r>
  <r>
    <x v="106"/>
    <x v="8"/>
    <n v="4"/>
  </r>
  <r>
    <x v="107"/>
    <x v="8"/>
    <n v="14"/>
  </r>
  <r>
    <x v="108"/>
    <x v="8"/>
    <n v="23"/>
  </r>
  <r>
    <x v="109"/>
    <x v="8"/>
    <n v="27"/>
  </r>
  <r>
    <x v="110"/>
    <x v="8"/>
    <n v="48"/>
  </r>
  <r>
    <x v="111"/>
    <x v="8"/>
    <n v="28"/>
  </r>
  <r>
    <x v="112"/>
    <x v="8"/>
    <n v="-2"/>
  </r>
  <r>
    <x v="113"/>
    <x v="8"/>
    <n v="-8"/>
  </r>
  <r>
    <x v="114"/>
    <x v="8"/>
    <n v="43"/>
  </r>
  <r>
    <x v="115"/>
    <x v="8"/>
    <n v="33"/>
  </r>
  <r>
    <x v="116"/>
    <x v="8"/>
    <n v="13"/>
  </r>
  <r>
    <x v="117"/>
    <x v="8"/>
    <n v="26"/>
  </r>
  <r>
    <x v="118"/>
    <x v="8"/>
    <n v="68"/>
  </r>
  <r>
    <x v="119"/>
    <x v="8"/>
    <n v="77"/>
  </r>
  <r>
    <x v="120"/>
    <x v="8"/>
    <n v="56"/>
  </r>
  <r>
    <x v="121"/>
    <x v="8"/>
    <n v="71"/>
  </r>
  <r>
    <x v="122"/>
    <x v="8"/>
    <n v="58"/>
  </r>
  <r>
    <x v="123"/>
    <x v="8"/>
    <n v="52"/>
  </r>
  <r>
    <x v="124"/>
    <x v="8"/>
    <n v="68"/>
  </r>
  <r>
    <x v="125"/>
    <x v="8"/>
    <n v="56"/>
  </r>
  <r>
    <x v="126"/>
    <x v="8"/>
    <n v="67"/>
  </r>
  <r>
    <x v="127"/>
    <x v="8"/>
    <n v="69"/>
  </r>
  <r>
    <x v="128"/>
    <x v="8"/>
    <n v="61"/>
  </r>
  <r>
    <x v="129"/>
    <x v="8"/>
    <n v="67"/>
  </r>
  <r>
    <x v="130"/>
    <x v="8"/>
    <n v="74"/>
  </r>
  <r>
    <x v="131"/>
    <x v="8"/>
    <n v="57"/>
  </r>
  <r>
    <x v="132"/>
    <x v="8"/>
    <n v="73"/>
  </r>
  <r>
    <x v="133"/>
    <x v="8"/>
    <n v="68"/>
  </r>
  <r>
    <x v="134"/>
    <x v="8"/>
    <n v="76"/>
  </r>
  <r>
    <x v="0"/>
    <x v="9"/>
    <n v="-26"/>
  </r>
  <r>
    <x v="1"/>
    <x v="9"/>
    <n v="-5"/>
  </r>
  <r>
    <x v="2"/>
    <x v="9"/>
    <n v="-12"/>
  </r>
  <r>
    <x v="3"/>
    <x v="9"/>
    <n v="-25"/>
  </r>
  <r>
    <x v="4"/>
    <x v="9"/>
    <n v="-21"/>
  </r>
  <r>
    <x v="5"/>
    <x v="9"/>
    <n v="-11"/>
  </r>
  <r>
    <x v="6"/>
    <x v="9"/>
    <n v="-24"/>
  </r>
  <r>
    <x v="7"/>
    <x v="9"/>
    <n v="-24"/>
  </r>
  <r>
    <x v="8"/>
    <x v="9"/>
    <n v="7"/>
  </r>
  <r>
    <x v="9"/>
    <x v="9"/>
    <n v="-3"/>
  </r>
  <r>
    <x v="10"/>
    <x v="9"/>
    <n v="-35"/>
  </r>
  <r>
    <x v="11"/>
    <x v="9"/>
    <n v="-8"/>
  </r>
  <r>
    <x v="12"/>
    <x v="9"/>
    <n v="-32"/>
  </r>
  <r>
    <x v="13"/>
    <x v="9"/>
    <n v="-43"/>
  </r>
  <r>
    <x v="14"/>
    <x v="9"/>
    <n v="-53"/>
  </r>
  <r>
    <x v="15"/>
    <x v="9"/>
    <n v="-19"/>
  </r>
  <r>
    <x v="16"/>
    <x v="9"/>
    <n v="-2"/>
  </r>
  <r>
    <x v="17"/>
    <x v="9"/>
    <n v="13"/>
  </r>
  <r>
    <x v="18"/>
    <x v="9"/>
    <n v="-28"/>
  </r>
  <r>
    <x v="19"/>
    <x v="9"/>
    <n v="-16"/>
  </r>
  <r>
    <x v="20"/>
    <x v="9"/>
    <n v="11"/>
  </r>
  <r>
    <x v="21"/>
    <x v="9"/>
    <n v="-3"/>
  </r>
  <r>
    <x v="22"/>
    <x v="9"/>
    <n v="-3"/>
  </r>
  <r>
    <x v="23"/>
    <x v="9"/>
    <n v="-27"/>
  </r>
  <r>
    <x v="24"/>
    <x v="9"/>
    <n v="-45"/>
  </r>
  <r>
    <x v="25"/>
    <x v="9"/>
    <n v="-15"/>
  </r>
  <r>
    <x v="26"/>
    <x v="9"/>
    <n v="-22"/>
  </r>
  <r>
    <x v="27"/>
    <x v="9"/>
    <n v="-33"/>
  </r>
  <r>
    <x v="28"/>
    <x v="9"/>
    <n v="-45"/>
  </r>
  <r>
    <x v="29"/>
    <x v="9"/>
    <n v="-50"/>
  </r>
  <r>
    <x v="30"/>
    <x v="9"/>
    <n v="-54"/>
  </r>
  <r>
    <x v="31"/>
    <x v="9"/>
    <n v="-47"/>
  </r>
  <r>
    <x v="32"/>
    <x v="9"/>
    <n v="-33"/>
  </r>
  <r>
    <x v="33"/>
    <x v="9"/>
    <n v="-45"/>
  </r>
  <r>
    <x v="34"/>
    <x v="9"/>
    <n v="-12"/>
  </r>
  <r>
    <x v="35"/>
    <x v="9"/>
    <n v="2"/>
  </r>
  <r>
    <x v="36"/>
    <x v="9"/>
    <n v="-47"/>
  </r>
  <r>
    <x v="37"/>
    <x v="9"/>
    <n v="-70"/>
  </r>
  <r>
    <x v="38"/>
    <x v="9"/>
    <n v="-32"/>
  </r>
  <r>
    <x v="39"/>
    <x v="9"/>
    <n v="-23"/>
  </r>
  <r>
    <x v="40"/>
    <x v="9"/>
    <n v="-40"/>
  </r>
  <r>
    <x v="41"/>
    <x v="9"/>
    <n v="-30"/>
  </r>
  <r>
    <x v="42"/>
    <x v="9"/>
    <n v="-35"/>
  </r>
  <r>
    <x v="43"/>
    <x v="9"/>
    <n v="-33"/>
  </r>
  <r>
    <x v="44"/>
    <x v="9"/>
    <n v="-26"/>
  </r>
  <r>
    <x v="45"/>
    <x v="9"/>
    <n v="-22"/>
  </r>
  <r>
    <x v="46"/>
    <x v="9"/>
    <n v="1"/>
  </r>
  <r>
    <x v="47"/>
    <x v="9"/>
    <n v="-12"/>
  </r>
  <r>
    <x v="48"/>
    <x v="9"/>
    <n v="-14"/>
  </r>
  <r>
    <x v="49"/>
    <x v="9"/>
    <n v="-26"/>
  </r>
  <r>
    <x v="50"/>
    <x v="9"/>
    <n v="-9"/>
  </r>
  <r>
    <x v="51"/>
    <x v="9"/>
    <n v="6"/>
  </r>
  <r>
    <x v="52"/>
    <x v="9"/>
    <n v="-17"/>
  </r>
  <r>
    <x v="53"/>
    <x v="9"/>
    <n v="-29"/>
  </r>
  <r>
    <x v="54"/>
    <x v="9"/>
    <n v="-28"/>
  </r>
  <r>
    <x v="55"/>
    <x v="9"/>
    <n v="-20"/>
  </r>
  <r>
    <x v="56"/>
    <x v="9"/>
    <n v="-6"/>
  </r>
  <r>
    <x v="57"/>
    <x v="9"/>
    <n v="2"/>
  </r>
  <r>
    <x v="58"/>
    <x v="9"/>
    <n v="-21"/>
  </r>
  <r>
    <x v="59"/>
    <x v="9"/>
    <n v="-17"/>
  </r>
  <r>
    <x v="60"/>
    <x v="9"/>
    <n v="19"/>
  </r>
  <r>
    <x v="61"/>
    <x v="9"/>
    <n v="44"/>
  </r>
  <r>
    <x v="62"/>
    <x v="9"/>
    <n v="15"/>
  </r>
  <r>
    <x v="63"/>
    <x v="9"/>
    <n v="-4"/>
  </r>
  <r>
    <x v="64"/>
    <x v="9"/>
    <n v="11"/>
  </r>
  <r>
    <x v="65"/>
    <x v="9"/>
    <n v="9"/>
  </r>
  <r>
    <x v="66"/>
    <x v="9"/>
    <n v="5"/>
  </r>
  <r>
    <x v="67"/>
    <x v="9"/>
    <n v="-9"/>
  </r>
  <r>
    <x v="68"/>
    <x v="9"/>
    <n v="-22"/>
  </r>
  <r>
    <x v="69"/>
    <x v="9"/>
    <n v="-22"/>
  </r>
  <r>
    <x v="70"/>
    <x v="9"/>
    <n v="-28"/>
  </r>
  <r>
    <x v="71"/>
    <x v="9"/>
    <n v="1"/>
  </r>
  <r>
    <x v="72"/>
    <x v="9"/>
    <n v="0"/>
  </r>
  <r>
    <x v="73"/>
    <x v="9"/>
    <n v="6"/>
  </r>
  <r>
    <x v="74"/>
    <x v="9"/>
    <n v="-14"/>
  </r>
  <r>
    <x v="75"/>
    <x v="9"/>
    <n v="-27"/>
  </r>
  <r>
    <x v="76"/>
    <x v="9"/>
    <n v="-27"/>
  </r>
  <r>
    <x v="77"/>
    <x v="9"/>
    <n v="6"/>
  </r>
  <r>
    <x v="78"/>
    <x v="9"/>
    <n v="26"/>
  </r>
  <r>
    <x v="79"/>
    <x v="9"/>
    <n v="5"/>
  </r>
  <r>
    <x v="80"/>
    <x v="9"/>
    <n v="5"/>
  </r>
  <r>
    <x v="81"/>
    <x v="9"/>
    <n v="-7"/>
  </r>
  <r>
    <x v="82"/>
    <x v="9"/>
    <n v="-4"/>
  </r>
  <r>
    <x v="83"/>
    <x v="9"/>
    <n v="13"/>
  </r>
  <r>
    <x v="84"/>
    <x v="9"/>
    <n v="-14"/>
  </r>
  <r>
    <x v="85"/>
    <x v="9"/>
    <n v="-7"/>
  </r>
  <r>
    <x v="86"/>
    <x v="9"/>
    <n v="17"/>
  </r>
  <r>
    <x v="87"/>
    <x v="9"/>
    <n v="-11"/>
  </r>
  <r>
    <x v="88"/>
    <x v="9"/>
    <n v="-1"/>
  </r>
  <r>
    <x v="89"/>
    <x v="9"/>
    <n v="35"/>
  </r>
  <r>
    <x v="90"/>
    <x v="9"/>
    <n v="6"/>
  </r>
  <r>
    <x v="91"/>
    <x v="9"/>
    <n v="-30"/>
  </r>
  <r>
    <x v="92"/>
    <x v="9"/>
    <n v="6"/>
  </r>
  <r>
    <x v="93"/>
    <x v="9"/>
    <n v="6"/>
  </r>
  <r>
    <x v="94"/>
    <x v="9"/>
    <n v="-23"/>
  </r>
  <r>
    <x v="95"/>
    <x v="9"/>
    <n v="-29"/>
  </r>
  <r>
    <x v="96"/>
    <x v="9"/>
    <n v="-14"/>
  </r>
  <r>
    <x v="97"/>
    <x v="9"/>
    <n v="10"/>
  </r>
  <r>
    <x v="98"/>
    <x v="9"/>
    <n v="10"/>
  </r>
  <r>
    <x v="99"/>
    <x v="9"/>
    <n v="24"/>
  </r>
  <r>
    <x v="100"/>
    <x v="9"/>
    <n v="31"/>
  </r>
  <r>
    <x v="101"/>
    <x v="9"/>
    <n v="22"/>
  </r>
  <r>
    <x v="102"/>
    <x v="9"/>
    <n v="24"/>
  </r>
  <r>
    <x v="103"/>
    <x v="9"/>
    <n v="30"/>
  </r>
  <r>
    <x v="104"/>
    <x v="9"/>
    <n v="8"/>
  </r>
  <r>
    <x v="105"/>
    <x v="9"/>
    <n v="4"/>
  </r>
  <r>
    <x v="106"/>
    <x v="9"/>
    <n v="18"/>
  </r>
  <r>
    <x v="107"/>
    <x v="9"/>
    <n v="56"/>
  </r>
  <r>
    <x v="108"/>
    <x v="9"/>
    <n v="32"/>
  </r>
  <r>
    <x v="109"/>
    <x v="9"/>
    <n v="10"/>
  </r>
  <r>
    <x v="110"/>
    <x v="9"/>
    <n v="36"/>
  </r>
  <r>
    <x v="111"/>
    <x v="9"/>
    <n v="34"/>
  </r>
  <r>
    <x v="112"/>
    <x v="9"/>
    <n v="20"/>
  </r>
  <r>
    <x v="113"/>
    <x v="9"/>
    <n v="29"/>
  </r>
  <r>
    <x v="114"/>
    <x v="9"/>
    <n v="27"/>
  </r>
  <r>
    <x v="115"/>
    <x v="9"/>
    <n v="40"/>
  </r>
  <r>
    <x v="116"/>
    <x v="9"/>
    <n v="31"/>
  </r>
  <r>
    <x v="117"/>
    <x v="9"/>
    <n v="52"/>
  </r>
  <r>
    <x v="118"/>
    <x v="9"/>
    <n v="63"/>
  </r>
  <r>
    <x v="119"/>
    <x v="9"/>
    <n v="19"/>
  </r>
  <r>
    <x v="120"/>
    <x v="9"/>
    <n v="22"/>
  </r>
  <r>
    <x v="121"/>
    <x v="9"/>
    <n v="41"/>
  </r>
  <r>
    <x v="122"/>
    <x v="9"/>
    <n v="55"/>
  </r>
  <r>
    <x v="123"/>
    <x v="9"/>
    <n v="59"/>
  </r>
  <r>
    <x v="124"/>
    <x v="9"/>
    <n v="56"/>
  </r>
  <r>
    <x v="125"/>
    <x v="9"/>
    <n v="61"/>
  </r>
  <r>
    <x v="126"/>
    <x v="9"/>
    <n v="55"/>
  </r>
  <r>
    <x v="127"/>
    <x v="9"/>
    <n v="44"/>
  </r>
  <r>
    <x v="128"/>
    <x v="9"/>
    <n v="33"/>
  </r>
  <r>
    <x v="129"/>
    <x v="9"/>
    <n v="66"/>
  </r>
  <r>
    <x v="130"/>
    <x v="9"/>
    <n v="72"/>
  </r>
  <r>
    <x v="131"/>
    <x v="9"/>
    <n v="38"/>
  </r>
  <r>
    <x v="132"/>
    <x v="9"/>
    <n v="46"/>
  </r>
  <r>
    <x v="133"/>
    <x v="9"/>
    <n v="57"/>
  </r>
  <r>
    <x v="134"/>
    <x v="9"/>
    <n v="70"/>
  </r>
  <r>
    <x v="0"/>
    <x v="10"/>
    <n v="-5"/>
  </r>
  <r>
    <x v="1"/>
    <x v="10"/>
    <n v="2"/>
  </r>
  <r>
    <x v="2"/>
    <x v="10"/>
    <n v="-8"/>
  </r>
  <r>
    <x v="3"/>
    <x v="10"/>
    <n v="-19"/>
  </r>
  <r>
    <x v="4"/>
    <x v="10"/>
    <n v="-14"/>
  </r>
  <r>
    <x v="5"/>
    <x v="10"/>
    <n v="-23"/>
  </r>
  <r>
    <x v="6"/>
    <x v="10"/>
    <n v="-24"/>
  </r>
  <r>
    <x v="7"/>
    <x v="10"/>
    <n v="-31"/>
  </r>
  <r>
    <x v="8"/>
    <x v="10"/>
    <n v="8"/>
  </r>
  <r>
    <x v="9"/>
    <x v="10"/>
    <n v="11"/>
  </r>
  <r>
    <x v="10"/>
    <x v="10"/>
    <n v="-43"/>
  </r>
  <r>
    <x v="11"/>
    <x v="10"/>
    <n v="-24"/>
  </r>
  <r>
    <x v="12"/>
    <x v="10"/>
    <n v="-29"/>
  </r>
  <r>
    <x v="13"/>
    <x v="10"/>
    <n v="-36"/>
  </r>
  <r>
    <x v="14"/>
    <x v="10"/>
    <n v="-23"/>
  </r>
  <r>
    <x v="15"/>
    <x v="10"/>
    <n v="-8"/>
  </r>
  <r>
    <x v="16"/>
    <x v="10"/>
    <n v="8"/>
  </r>
  <r>
    <x v="17"/>
    <x v="10"/>
    <n v="18"/>
  </r>
  <r>
    <x v="18"/>
    <x v="10"/>
    <n v="-29"/>
  </r>
  <r>
    <x v="19"/>
    <x v="10"/>
    <n v="-10"/>
  </r>
  <r>
    <x v="20"/>
    <x v="10"/>
    <n v="19"/>
  </r>
  <r>
    <x v="21"/>
    <x v="10"/>
    <n v="-6"/>
  </r>
  <r>
    <x v="22"/>
    <x v="10"/>
    <n v="-8"/>
  </r>
  <r>
    <x v="23"/>
    <x v="10"/>
    <n v="-37"/>
  </r>
  <r>
    <x v="24"/>
    <x v="10"/>
    <n v="-48"/>
  </r>
  <r>
    <x v="25"/>
    <x v="10"/>
    <n v="-11"/>
  </r>
  <r>
    <x v="26"/>
    <x v="10"/>
    <n v="-21"/>
  </r>
  <r>
    <x v="27"/>
    <x v="10"/>
    <n v="-36"/>
  </r>
  <r>
    <x v="28"/>
    <x v="10"/>
    <n v="-49"/>
  </r>
  <r>
    <x v="29"/>
    <x v="10"/>
    <n v="-55"/>
  </r>
  <r>
    <x v="30"/>
    <x v="10"/>
    <n v="-54"/>
  </r>
  <r>
    <x v="31"/>
    <x v="10"/>
    <n v="-47"/>
  </r>
  <r>
    <x v="32"/>
    <x v="10"/>
    <n v="-11"/>
  </r>
  <r>
    <x v="33"/>
    <x v="10"/>
    <n v="-16"/>
  </r>
  <r>
    <x v="34"/>
    <x v="10"/>
    <n v="-2"/>
  </r>
  <r>
    <x v="35"/>
    <x v="10"/>
    <n v="-1"/>
  </r>
  <r>
    <x v="36"/>
    <x v="10"/>
    <n v="-42"/>
  </r>
  <r>
    <x v="37"/>
    <x v="10"/>
    <n v="-51"/>
  </r>
  <r>
    <x v="38"/>
    <x v="10"/>
    <n v="-22"/>
  </r>
  <r>
    <x v="39"/>
    <x v="10"/>
    <n v="-5"/>
  </r>
  <r>
    <x v="40"/>
    <x v="10"/>
    <n v="-14"/>
  </r>
  <r>
    <x v="41"/>
    <x v="10"/>
    <n v="-25"/>
  </r>
  <r>
    <x v="42"/>
    <x v="10"/>
    <n v="-29"/>
  </r>
  <r>
    <x v="43"/>
    <x v="10"/>
    <n v="-27"/>
  </r>
  <r>
    <x v="44"/>
    <x v="10"/>
    <n v="-24"/>
  </r>
  <r>
    <x v="45"/>
    <x v="10"/>
    <n v="-22"/>
  </r>
  <r>
    <x v="46"/>
    <x v="10"/>
    <n v="5"/>
  </r>
  <r>
    <x v="47"/>
    <x v="10"/>
    <n v="-17"/>
  </r>
  <r>
    <x v="48"/>
    <x v="10"/>
    <n v="-14"/>
  </r>
  <r>
    <x v="49"/>
    <x v="10"/>
    <n v="-29"/>
  </r>
  <r>
    <x v="50"/>
    <x v="10"/>
    <n v="-15"/>
  </r>
  <r>
    <x v="51"/>
    <x v="10"/>
    <n v="0"/>
  </r>
  <r>
    <x v="52"/>
    <x v="10"/>
    <n v="-18"/>
  </r>
  <r>
    <x v="53"/>
    <x v="10"/>
    <n v="-29"/>
  </r>
  <r>
    <x v="54"/>
    <x v="10"/>
    <n v="-26"/>
  </r>
  <r>
    <x v="55"/>
    <x v="10"/>
    <n v="-24"/>
  </r>
  <r>
    <x v="56"/>
    <x v="10"/>
    <n v="-23"/>
  </r>
  <r>
    <x v="57"/>
    <x v="10"/>
    <n v="-14"/>
  </r>
  <r>
    <x v="58"/>
    <x v="10"/>
    <n v="-31"/>
  </r>
  <r>
    <x v="59"/>
    <x v="10"/>
    <n v="-18"/>
  </r>
  <r>
    <x v="60"/>
    <x v="10"/>
    <n v="18"/>
  </r>
  <r>
    <x v="61"/>
    <x v="10"/>
    <n v="34"/>
  </r>
  <r>
    <x v="62"/>
    <x v="10"/>
    <n v="14"/>
  </r>
  <r>
    <x v="63"/>
    <x v="10"/>
    <n v="5"/>
  </r>
  <r>
    <x v="64"/>
    <x v="10"/>
    <n v="32"/>
  </r>
  <r>
    <x v="65"/>
    <x v="10"/>
    <n v="35"/>
  </r>
  <r>
    <x v="66"/>
    <x v="10"/>
    <n v="-7"/>
  </r>
  <r>
    <x v="67"/>
    <x v="10"/>
    <n v="-9"/>
  </r>
  <r>
    <x v="68"/>
    <x v="10"/>
    <n v="-14"/>
  </r>
  <r>
    <x v="69"/>
    <x v="10"/>
    <n v="-13"/>
  </r>
  <r>
    <x v="70"/>
    <x v="10"/>
    <n v="-26"/>
  </r>
  <r>
    <x v="71"/>
    <x v="10"/>
    <n v="-13"/>
  </r>
  <r>
    <x v="72"/>
    <x v="10"/>
    <n v="3"/>
  </r>
  <r>
    <x v="73"/>
    <x v="10"/>
    <n v="5"/>
  </r>
  <r>
    <x v="74"/>
    <x v="10"/>
    <n v="-28"/>
  </r>
  <r>
    <x v="75"/>
    <x v="10"/>
    <n v="-38"/>
  </r>
  <r>
    <x v="76"/>
    <x v="10"/>
    <n v="-37"/>
  </r>
  <r>
    <x v="77"/>
    <x v="10"/>
    <n v="8"/>
  </r>
  <r>
    <x v="78"/>
    <x v="10"/>
    <n v="14"/>
  </r>
  <r>
    <x v="79"/>
    <x v="10"/>
    <n v="8"/>
  </r>
  <r>
    <x v="80"/>
    <x v="10"/>
    <n v="-3"/>
  </r>
  <r>
    <x v="81"/>
    <x v="10"/>
    <n v="1"/>
  </r>
  <r>
    <x v="82"/>
    <x v="10"/>
    <n v="-5"/>
  </r>
  <r>
    <x v="83"/>
    <x v="10"/>
    <n v="9"/>
  </r>
  <r>
    <x v="84"/>
    <x v="10"/>
    <n v="-13"/>
  </r>
  <r>
    <x v="85"/>
    <x v="10"/>
    <n v="1"/>
  </r>
  <r>
    <x v="86"/>
    <x v="10"/>
    <n v="-1"/>
  </r>
  <r>
    <x v="87"/>
    <x v="10"/>
    <n v="-16"/>
  </r>
  <r>
    <x v="88"/>
    <x v="10"/>
    <n v="-10"/>
  </r>
  <r>
    <x v="89"/>
    <x v="10"/>
    <n v="29"/>
  </r>
  <r>
    <x v="90"/>
    <x v="10"/>
    <n v="6"/>
  </r>
  <r>
    <x v="91"/>
    <x v="10"/>
    <n v="-22"/>
  </r>
  <r>
    <x v="92"/>
    <x v="10"/>
    <n v="26"/>
  </r>
  <r>
    <x v="93"/>
    <x v="10"/>
    <n v="28"/>
  </r>
  <r>
    <x v="94"/>
    <x v="10"/>
    <n v="-16"/>
  </r>
  <r>
    <x v="95"/>
    <x v="10"/>
    <n v="-14"/>
  </r>
  <r>
    <x v="96"/>
    <x v="10"/>
    <n v="-7"/>
  </r>
  <r>
    <x v="97"/>
    <x v="10"/>
    <n v="23"/>
  </r>
  <r>
    <x v="98"/>
    <x v="10"/>
    <n v="7"/>
  </r>
  <r>
    <x v="99"/>
    <x v="10"/>
    <n v="27"/>
  </r>
  <r>
    <x v="100"/>
    <x v="10"/>
    <n v="28"/>
  </r>
  <r>
    <x v="101"/>
    <x v="10"/>
    <n v="16"/>
  </r>
  <r>
    <x v="102"/>
    <x v="10"/>
    <n v="30"/>
  </r>
  <r>
    <x v="103"/>
    <x v="10"/>
    <n v="58"/>
  </r>
  <r>
    <x v="104"/>
    <x v="10"/>
    <n v="30"/>
  </r>
  <r>
    <x v="105"/>
    <x v="10"/>
    <n v="18"/>
  </r>
  <r>
    <x v="106"/>
    <x v="10"/>
    <n v="30"/>
  </r>
  <r>
    <x v="107"/>
    <x v="10"/>
    <n v="63"/>
  </r>
  <r>
    <x v="108"/>
    <x v="10"/>
    <n v="45"/>
  </r>
  <r>
    <x v="109"/>
    <x v="10"/>
    <n v="22"/>
  </r>
  <r>
    <x v="110"/>
    <x v="10"/>
    <n v="39"/>
  </r>
  <r>
    <x v="111"/>
    <x v="10"/>
    <n v="44"/>
  </r>
  <r>
    <x v="112"/>
    <x v="10"/>
    <n v="41"/>
  </r>
  <r>
    <x v="113"/>
    <x v="10"/>
    <n v="38"/>
  </r>
  <r>
    <x v="114"/>
    <x v="10"/>
    <n v="37"/>
  </r>
  <r>
    <x v="115"/>
    <x v="10"/>
    <n v="49"/>
  </r>
  <r>
    <x v="116"/>
    <x v="10"/>
    <n v="37"/>
  </r>
  <r>
    <x v="117"/>
    <x v="10"/>
    <n v="54"/>
  </r>
  <r>
    <x v="118"/>
    <x v="10"/>
    <n v="81"/>
  </r>
  <r>
    <x v="119"/>
    <x v="10"/>
    <n v="32"/>
  </r>
  <r>
    <x v="120"/>
    <x v="10"/>
    <n v="33"/>
  </r>
  <r>
    <x v="121"/>
    <x v="10"/>
    <n v="48"/>
  </r>
  <r>
    <x v="122"/>
    <x v="10"/>
    <n v="67"/>
  </r>
  <r>
    <x v="123"/>
    <x v="10"/>
    <n v="68"/>
  </r>
  <r>
    <x v="124"/>
    <x v="10"/>
    <n v="58"/>
  </r>
  <r>
    <x v="125"/>
    <x v="10"/>
    <n v="69"/>
  </r>
  <r>
    <x v="126"/>
    <x v="10"/>
    <n v="58"/>
  </r>
  <r>
    <x v="127"/>
    <x v="10"/>
    <n v="50"/>
  </r>
  <r>
    <x v="128"/>
    <x v="10"/>
    <n v="45"/>
  </r>
  <r>
    <x v="129"/>
    <x v="10"/>
    <n v="71"/>
  </r>
  <r>
    <x v="130"/>
    <x v="10"/>
    <n v="66"/>
  </r>
  <r>
    <x v="131"/>
    <x v="10"/>
    <n v="37"/>
  </r>
  <r>
    <x v="132"/>
    <x v="10"/>
    <n v="57"/>
  </r>
  <r>
    <x v="133"/>
    <x v="10"/>
    <n v="58"/>
  </r>
  <r>
    <x v="134"/>
    <x v="10"/>
    <n v="64"/>
  </r>
  <r>
    <x v="0"/>
    <x v="11"/>
    <n v="-2"/>
  </r>
  <r>
    <x v="1"/>
    <x v="11"/>
    <n v="-6"/>
  </r>
  <r>
    <x v="2"/>
    <x v="11"/>
    <n v="3"/>
  </r>
  <r>
    <x v="3"/>
    <x v="11"/>
    <n v="-1"/>
  </r>
  <r>
    <x v="4"/>
    <x v="11"/>
    <n v="-15"/>
  </r>
  <r>
    <x v="5"/>
    <x v="11"/>
    <n v="-27"/>
  </r>
  <r>
    <x v="6"/>
    <x v="11"/>
    <n v="-18"/>
  </r>
  <r>
    <x v="7"/>
    <x v="11"/>
    <n v="-24"/>
  </r>
  <r>
    <x v="8"/>
    <x v="11"/>
    <n v="-30"/>
  </r>
  <r>
    <x v="9"/>
    <x v="11"/>
    <n v="-16"/>
  </r>
  <r>
    <x v="10"/>
    <x v="11"/>
    <n v="-16"/>
  </r>
  <r>
    <x v="11"/>
    <x v="11"/>
    <n v="-20"/>
  </r>
  <r>
    <x v="12"/>
    <x v="11"/>
    <n v="-4"/>
  </r>
  <r>
    <x v="13"/>
    <x v="11"/>
    <n v="3"/>
  </r>
  <r>
    <x v="14"/>
    <x v="11"/>
    <n v="-16"/>
  </r>
  <r>
    <x v="15"/>
    <x v="11"/>
    <n v="-21"/>
  </r>
  <r>
    <x v="16"/>
    <x v="11"/>
    <n v="-15"/>
  </r>
  <r>
    <x v="17"/>
    <x v="11"/>
    <n v="-21"/>
  </r>
  <r>
    <x v="18"/>
    <x v="11"/>
    <n v="-27"/>
  </r>
  <r>
    <x v="19"/>
    <x v="11"/>
    <n v="-13"/>
  </r>
  <r>
    <x v="20"/>
    <x v="11"/>
    <n v="-31"/>
  </r>
  <r>
    <x v="21"/>
    <x v="11"/>
    <n v="-29"/>
  </r>
  <r>
    <x v="22"/>
    <x v="11"/>
    <n v="-27"/>
  </r>
  <r>
    <x v="23"/>
    <x v="11"/>
    <n v="-37"/>
  </r>
  <r>
    <x v="24"/>
    <x v="11"/>
    <n v="-36"/>
  </r>
  <r>
    <x v="25"/>
    <x v="11"/>
    <n v="-37"/>
  </r>
  <r>
    <x v="26"/>
    <x v="11"/>
    <n v="-23"/>
  </r>
  <r>
    <x v="27"/>
    <x v="11"/>
    <n v="-25"/>
  </r>
  <r>
    <x v="28"/>
    <x v="11"/>
    <n v="-31"/>
  </r>
  <r>
    <x v="29"/>
    <x v="11"/>
    <n v="-38"/>
  </r>
  <r>
    <x v="30"/>
    <x v="11"/>
    <n v="-32"/>
  </r>
  <r>
    <x v="31"/>
    <x v="11"/>
    <n v="-43"/>
  </r>
  <r>
    <x v="32"/>
    <x v="11"/>
    <n v="-37"/>
  </r>
  <r>
    <x v="33"/>
    <x v="11"/>
    <n v="-29"/>
  </r>
  <r>
    <x v="34"/>
    <x v="11"/>
    <n v="-17"/>
  </r>
  <r>
    <x v="35"/>
    <x v="11"/>
    <n v="-10"/>
  </r>
  <r>
    <x v="36"/>
    <x v="11"/>
    <n v="-22"/>
  </r>
  <r>
    <x v="37"/>
    <x v="11"/>
    <n v="-17"/>
  </r>
  <r>
    <x v="38"/>
    <x v="11"/>
    <n v="-8"/>
  </r>
  <r>
    <x v="39"/>
    <x v="11"/>
    <n v="-7"/>
  </r>
  <r>
    <x v="40"/>
    <x v="11"/>
    <n v="-20"/>
  </r>
  <r>
    <x v="41"/>
    <x v="11"/>
    <n v="-25"/>
  </r>
  <r>
    <x v="42"/>
    <x v="11"/>
    <n v="-23"/>
  </r>
  <r>
    <x v="43"/>
    <x v="11"/>
    <n v="-26"/>
  </r>
  <r>
    <x v="44"/>
    <x v="11"/>
    <n v="-38"/>
  </r>
  <r>
    <x v="45"/>
    <x v="11"/>
    <n v="-24"/>
  </r>
  <r>
    <x v="46"/>
    <x v="11"/>
    <n v="-32"/>
  </r>
  <r>
    <x v="47"/>
    <x v="11"/>
    <n v="-31"/>
  </r>
  <r>
    <x v="48"/>
    <x v="11"/>
    <n v="-32"/>
  </r>
  <r>
    <x v="49"/>
    <x v="11"/>
    <n v="-41"/>
  </r>
  <r>
    <x v="50"/>
    <x v="11"/>
    <n v="-31"/>
  </r>
  <r>
    <x v="51"/>
    <x v="11"/>
    <n v="-42"/>
  </r>
  <r>
    <x v="52"/>
    <x v="11"/>
    <n v="-25"/>
  </r>
  <r>
    <x v="53"/>
    <x v="11"/>
    <n v="-22"/>
  </r>
  <r>
    <x v="54"/>
    <x v="11"/>
    <n v="-23"/>
  </r>
  <r>
    <x v="55"/>
    <x v="11"/>
    <n v="-29"/>
  </r>
  <r>
    <x v="56"/>
    <x v="11"/>
    <n v="-27"/>
  </r>
  <r>
    <x v="57"/>
    <x v="11"/>
    <n v="-21"/>
  </r>
  <r>
    <x v="58"/>
    <x v="11"/>
    <n v="-9"/>
  </r>
  <r>
    <x v="59"/>
    <x v="11"/>
    <n v="-5"/>
  </r>
  <r>
    <x v="60"/>
    <x v="11"/>
    <n v="1"/>
  </r>
  <r>
    <x v="61"/>
    <x v="11"/>
    <n v="2"/>
  </r>
  <r>
    <x v="62"/>
    <x v="11"/>
    <n v="8"/>
  </r>
  <r>
    <x v="63"/>
    <x v="11"/>
    <n v="13"/>
  </r>
  <r>
    <x v="64"/>
    <x v="11"/>
    <n v="32"/>
  </r>
  <r>
    <x v="65"/>
    <x v="11"/>
    <n v="14"/>
  </r>
  <r>
    <x v="66"/>
    <x v="11"/>
    <n v="-18"/>
  </r>
  <r>
    <x v="67"/>
    <x v="11"/>
    <n v="-16"/>
  </r>
  <r>
    <x v="68"/>
    <x v="11"/>
    <n v="-19"/>
  </r>
  <r>
    <x v="69"/>
    <x v="11"/>
    <n v="-15"/>
  </r>
  <r>
    <x v="70"/>
    <x v="11"/>
    <n v="-5"/>
  </r>
  <r>
    <x v="71"/>
    <x v="11"/>
    <n v="-20"/>
  </r>
  <r>
    <x v="72"/>
    <x v="11"/>
    <n v="-9"/>
  </r>
  <r>
    <x v="73"/>
    <x v="11"/>
    <n v="-10"/>
  </r>
  <r>
    <x v="74"/>
    <x v="11"/>
    <n v="-16"/>
  </r>
  <r>
    <x v="75"/>
    <x v="11"/>
    <n v="-16"/>
  </r>
  <r>
    <x v="76"/>
    <x v="11"/>
    <n v="-11"/>
  </r>
  <r>
    <x v="77"/>
    <x v="11"/>
    <n v="-8"/>
  </r>
  <r>
    <x v="78"/>
    <x v="11"/>
    <n v="-9"/>
  </r>
  <r>
    <x v="79"/>
    <x v="11"/>
    <n v="-4"/>
  </r>
  <r>
    <x v="80"/>
    <x v="11"/>
    <n v="-10"/>
  </r>
  <r>
    <x v="81"/>
    <x v="11"/>
    <n v="11"/>
  </r>
  <r>
    <x v="82"/>
    <x v="11"/>
    <n v="6"/>
  </r>
  <r>
    <x v="83"/>
    <x v="11"/>
    <n v="-11"/>
  </r>
  <r>
    <x v="84"/>
    <x v="11"/>
    <n v="-30"/>
  </r>
  <r>
    <x v="85"/>
    <x v="11"/>
    <n v="-21"/>
  </r>
  <r>
    <x v="86"/>
    <x v="11"/>
    <n v="-24"/>
  </r>
  <r>
    <x v="87"/>
    <x v="11"/>
    <n v="-7"/>
  </r>
  <r>
    <x v="88"/>
    <x v="11"/>
    <n v="-12"/>
  </r>
  <r>
    <x v="89"/>
    <x v="11"/>
    <n v="2"/>
  </r>
  <r>
    <x v="90"/>
    <x v="11"/>
    <n v="9"/>
  </r>
  <r>
    <x v="91"/>
    <x v="11"/>
    <n v="4"/>
  </r>
  <r>
    <x v="92"/>
    <x v="11"/>
    <n v="14"/>
  </r>
  <r>
    <x v="93"/>
    <x v="11"/>
    <n v="20"/>
  </r>
  <r>
    <x v="94"/>
    <x v="11"/>
    <n v="21"/>
  </r>
  <r>
    <x v="95"/>
    <x v="11"/>
    <n v="13"/>
  </r>
  <r>
    <x v="96"/>
    <x v="11"/>
    <n v="9"/>
  </r>
  <r>
    <x v="97"/>
    <x v="11"/>
    <n v="23"/>
  </r>
  <r>
    <x v="98"/>
    <x v="11"/>
    <n v="20"/>
  </r>
  <r>
    <x v="99"/>
    <x v="11"/>
    <n v="32"/>
  </r>
  <r>
    <x v="100"/>
    <x v="11"/>
    <n v="35"/>
  </r>
  <r>
    <x v="101"/>
    <x v="11"/>
    <n v="29"/>
  </r>
  <r>
    <x v="102"/>
    <x v="11"/>
    <n v="18"/>
  </r>
  <r>
    <x v="103"/>
    <x v="11"/>
    <n v="20"/>
  </r>
  <r>
    <x v="104"/>
    <x v="11"/>
    <n v="16"/>
  </r>
  <r>
    <x v="105"/>
    <x v="11"/>
    <n v="29"/>
  </r>
  <r>
    <x v="106"/>
    <x v="11"/>
    <n v="26"/>
  </r>
  <r>
    <x v="107"/>
    <x v="11"/>
    <n v="33"/>
  </r>
  <r>
    <x v="108"/>
    <x v="11"/>
    <n v="39"/>
  </r>
  <r>
    <x v="109"/>
    <x v="11"/>
    <n v="37"/>
  </r>
  <r>
    <x v="110"/>
    <x v="11"/>
    <n v="38"/>
  </r>
  <r>
    <x v="111"/>
    <x v="11"/>
    <n v="33"/>
  </r>
  <r>
    <x v="112"/>
    <x v="11"/>
    <n v="21"/>
  </r>
  <r>
    <x v="113"/>
    <x v="11"/>
    <n v="26"/>
  </r>
  <r>
    <x v="114"/>
    <x v="11"/>
    <n v="27"/>
  </r>
  <r>
    <x v="115"/>
    <x v="11"/>
    <n v="32"/>
  </r>
  <r>
    <x v="116"/>
    <x v="11"/>
    <n v="35"/>
  </r>
  <r>
    <x v="117"/>
    <x v="11"/>
    <n v="43"/>
  </r>
  <r>
    <x v="118"/>
    <x v="11"/>
    <n v="43"/>
  </r>
  <r>
    <x v="119"/>
    <x v="11"/>
    <n v="50"/>
  </r>
  <r>
    <x v="120"/>
    <x v="11"/>
    <n v="47"/>
  </r>
  <r>
    <x v="121"/>
    <x v="11"/>
    <n v="58"/>
  </r>
  <r>
    <x v="122"/>
    <x v="11"/>
    <n v="49"/>
  </r>
  <r>
    <x v="123"/>
    <x v="11"/>
    <n v="47"/>
  </r>
  <r>
    <x v="124"/>
    <x v="11"/>
    <n v="50"/>
  </r>
  <r>
    <x v="125"/>
    <x v="11"/>
    <n v="52"/>
  </r>
  <r>
    <x v="126"/>
    <x v="11"/>
    <n v="54"/>
  </r>
  <r>
    <x v="127"/>
    <x v="11"/>
    <n v="54"/>
  </r>
  <r>
    <x v="128"/>
    <x v="11"/>
    <n v="56"/>
  </r>
  <r>
    <x v="129"/>
    <x v="11"/>
    <n v="61"/>
  </r>
  <r>
    <x v="130"/>
    <x v="11"/>
    <n v="66"/>
  </r>
  <r>
    <x v="131"/>
    <x v="11"/>
    <n v="68"/>
  </r>
  <r>
    <x v="132"/>
    <x v="11"/>
    <n v="60"/>
  </r>
  <r>
    <x v="133"/>
    <x v="11"/>
    <n v="64"/>
  </r>
  <r>
    <x v="134"/>
    <x v="11"/>
    <n v="76"/>
  </r>
  <r>
    <x v="0"/>
    <x v="12"/>
    <n v="-8"/>
  </r>
  <r>
    <x v="1"/>
    <x v="12"/>
    <n v="-3"/>
  </r>
  <r>
    <x v="2"/>
    <x v="12"/>
    <n v="8"/>
  </r>
  <r>
    <x v="3"/>
    <x v="12"/>
    <n v="0"/>
  </r>
  <r>
    <x v="4"/>
    <x v="12"/>
    <n v="-5"/>
  </r>
  <r>
    <x v="5"/>
    <x v="12"/>
    <n v="-7"/>
  </r>
  <r>
    <x v="6"/>
    <x v="12"/>
    <n v="-21"/>
  </r>
  <r>
    <x v="7"/>
    <x v="12"/>
    <n v="-29"/>
  </r>
  <r>
    <x v="8"/>
    <x v="12"/>
    <n v="-38"/>
  </r>
  <r>
    <x v="9"/>
    <x v="12"/>
    <n v="-17"/>
  </r>
  <r>
    <x v="10"/>
    <x v="12"/>
    <n v="-40"/>
  </r>
  <r>
    <x v="11"/>
    <x v="12"/>
    <n v="-28"/>
  </r>
  <r>
    <x v="12"/>
    <x v="12"/>
    <n v="-34"/>
  </r>
  <r>
    <x v="13"/>
    <x v="12"/>
    <n v="-22"/>
  </r>
  <r>
    <x v="14"/>
    <x v="12"/>
    <n v="-32"/>
  </r>
  <r>
    <x v="15"/>
    <x v="12"/>
    <n v="-13"/>
  </r>
  <r>
    <x v="16"/>
    <x v="12"/>
    <n v="-22"/>
  </r>
  <r>
    <x v="17"/>
    <x v="12"/>
    <n v="-37"/>
  </r>
  <r>
    <x v="18"/>
    <x v="12"/>
    <n v="-30"/>
  </r>
  <r>
    <x v="19"/>
    <x v="12"/>
    <n v="-23"/>
  </r>
  <r>
    <x v="20"/>
    <x v="12"/>
    <n v="-38"/>
  </r>
  <r>
    <x v="21"/>
    <x v="12"/>
    <n v="-26"/>
  </r>
  <r>
    <x v="22"/>
    <x v="12"/>
    <n v="-42"/>
  </r>
  <r>
    <x v="23"/>
    <x v="12"/>
    <n v="-25"/>
  </r>
  <r>
    <x v="24"/>
    <x v="12"/>
    <n v="-38"/>
  </r>
  <r>
    <x v="25"/>
    <x v="12"/>
    <n v="-34"/>
  </r>
  <r>
    <x v="26"/>
    <x v="12"/>
    <n v="-22"/>
  </r>
  <r>
    <x v="27"/>
    <x v="12"/>
    <n v="-31"/>
  </r>
  <r>
    <x v="28"/>
    <x v="12"/>
    <n v="-38"/>
  </r>
  <r>
    <x v="29"/>
    <x v="12"/>
    <n v="-41"/>
  </r>
  <r>
    <x v="30"/>
    <x v="12"/>
    <n v="-32"/>
  </r>
  <r>
    <x v="31"/>
    <x v="12"/>
    <n v="-53"/>
  </r>
  <r>
    <x v="32"/>
    <x v="12"/>
    <n v="-13"/>
  </r>
  <r>
    <x v="33"/>
    <x v="12"/>
    <n v="-31"/>
  </r>
  <r>
    <x v="34"/>
    <x v="12"/>
    <n v="-23"/>
  </r>
  <r>
    <x v="35"/>
    <x v="12"/>
    <n v="-23"/>
  </r>
  <r>
    <x v="36"/>
    <x v="12"/>
    <n v="-17"/>
  </r>
  <r>
    <x v="37"/>
    <x v="12"/>
    <n v="4"/>
  </r>
  <r>
    <x v="38"/>
    <x v="12"/>
    <n v="-23"/>
  </r>
  <r>
    <x v="39"/>
    <x v="12"/>
    <n v="-22"/>
  </r>
  <r>
    <x v="40"/>
    <x v="12"/>
    <n v="-44"/>
  </r>
  <r>
    <x v="41"/>
    <x v="12"/>
    <n v="-49"/>
  </r>
  <r>
    <x v="42"/>
    <x v="12"/>
    <n v="-27"/>
  </r>
  <r>
    <x v="43"/>
    <x v="12"/>
    <n v="-28"/>
  </r>
  <r>
    <x v="44"/>
    <x v="12"/>
    <n v="-60"/>
  </r>
  <r>
    <x v="45"/>
    <x v="12"/>
    <n v="-55"/>
  </r>
  <r>
    <x v="46"/>
    <x v="12"/>
    <n v="-46"/>
  </r>
  <r>
    <x v="47"/>
    <x v="12"/>
    <n v="-41"/>
  </r>
  <r>
    <x v="48"/>
    <x v="12"/>
    <n v="-62"/>
  </r>
  <r>
    <x v="49"/>
    <x v="12"/>
    <n v="-57"/>
  </r>
  <r>
    <x v="50"/>
    <x v="12"/>
    <n v="-42"/>
  </r>
  <r>
    <x v="51"/>
    <x v="12"/>
    <n v="-31"/>
  </r>
  <r>
    <x v="52"/>
    <x v="12"/>
    <n v="-57"/>
  </r>
  <r>
    <x v="53"/>
    <x v="12"/>
    <n v="-46"/>
  </r>
  <r>
    <x v="54"/>
    <x v="12"/>
    <n v="-34"/>
  </r>
  <r>
    <x v="55"/>
    <x v="12"/>
    <n v="-34"/>
  </r>
  <r>
    <x v="56"/>
    <x v="12"/>
    <n v="-28"/>
  </r>
  <r>
    <x v="57"/>
    <x v="12"/>
    <n v="-14"/>
  </r>
  <r>
    <x v="58"/>
    <x v="12"/>
    <n v="-8"/>
  </r>
  <r>
    <x v="59"/>
    <x v="12"/>
    <n v="-10"/>
  </r>
  <r>
    <x v="60"/>
    <x v="12"/>
    <n v="-21"/>
  </r>
  <r>
    <x v="61"/>
    <x v="12"/>
    <n v="-18"/>
  </r>
  <r>
    <x v="62"/>
    <x v="12"/>
    <n v="-5"/>
  </r>
  <r>
    <x v="63"/>
    <x v="12"/>
    <n v="1"/>
  </r>
  <r>
    <x v="64"/>
    <x v="12"/>
    <n v="-1"/>
  </r>
  <r>
    <x v="65"/>
    <x v="12"/>
    <n v="-4"/>
  </r>
  <r>
    <x v="66"/>
    <x v="12"/>
    <n v="-16"/>
  </r>
  <r>
    <x v="67"/>
    <x v="12"/>
    <n v="-11"/>
  </r>
  <r>
    <x v="68"/>
    <x v="12"/>
    <n v="-16"/>
  </r>
  <r>
    <x v="69"/>
    <x v="12"/>
    <n v="-13"/>
  </r>
  <r>
    <x v="70"/>
    <x v="12"/>
    <n v="-21"/>
  </r>
  <r>
    <x v="71"/>
    <x v="12"/>
    <n v="-21"/>
  </r>
  <r>
    <x v="72"/>
    <x v="12"/>
    <n v="0"/>
  </r>
  <r>
    <x v="73"/>
    <x v="12"/>
    <n v="-12"/>
  </r>
  <r>
    <x v="74"/>
    <x v="12"/>
    <n v="-4"/>
  </r>
  <r>
    <x v="75"/>
    <x v="12"/>
    <n v="-19"/>
  </r>
  <r>
    <x v="76"/>
    <x v="12"/>
    <n v="0"/>
  </r>
  <r>
    <x v="77"/>
    <x v="12"/>
    <n v="-9"/>
  </r>
  <r>
    <x v="78"/>
    <x v="12"/>
    <n v="-7"/>
  </r>
  <r>
    <x v="79"/>
    <x v="12"/>
    <n v="-15"/>
  </r>
  <r>
    <x v="80"/>
    <x v="12"/>
    <n v="-4"/>
  </r>
  <r>
    <x v="81"/>
    <x v="12"/>
    <n v="-11"/>
  </r>
  <r>
    <x v="82"/>
    <x v="12"/>
    <n v="-9"/>
  </r>
  <r>
    <x v="83"/>
    <x v="12"/>
    <n v="-20"/>
  </r>
  <r>
    <x v="84"/>
    <x v="12"/>
    <n v="-9"/>
  </r>
  <r>
    <x v="85"/>
    <x v="12"/>
    <n v="0"/>
  </r>
  <r>
    <x v="86"/>
    <x v="12"/>
    <n v="-17"/>
  </r>
  <r>
    <x v="87"/>
    <x v="12"/>
    <n v="-7"/>
  </r>
  <r>
    <x v="88"/>
    <x v="12"/>
    <n v="2"/>
  </r>
  <r>
    <x v="89"/>
    <x v="12"/>
    <n v="13"/>
  </r>
  <r>
    <x v="90"/>
    <x v="12"/>
    <n v="0"/>
  </r>
  <r>
    <x v="91"/>
    <x v="12"/>
    <n v="11"/>
  </r>
  <r>
    <x v="92"/>
    <x v="12"/>
    <n v="2"/>
  </r>
  <r>
    <x v="93"/>
    <x v="12"/>
    <n v="-1"/>
  </r>
  <r>
    <x v="94"/>
    <x v="12"/>
    <n v="-6"/>
  </r>
  <r>
    <x v="95"/>
    <x v="12"/>
    <n v="4"/>
  </r>
  <r>
    <x v="96"/>
    <x v="12"/>
    <n v="10"/>
  </r>
  <r>
    <x v="97"/>
    <x v="12"/>
    <n v="37"/>
  </r>
  <r>
    <x v="98"/>
    <x v="12"/>
    <n v="16"/>
  </r>
  <r>
    <x v="99"/>
    <x v="12"/>
    <n v="38"/>
  </r>
  <r>
    <x v="100"/>
    <x v="12"/>
    <n v="37"/>
  </r>
  <r>
    <x v="101"/>
    <x v="12"/>
    <n v="37"/>
  </r>
  <r>
    <x v="102"/>
    <x v="12"/>
    <n v="30"/>
  </r>
  <r>
    <x v="103"/>
    <x v="12"/>
    <n v="29"/>
  </r>
  <r>
    <x v="104"/>
    <x v="12"/>
    <n v="24"/>
  </r>
  <r>
    <x v="105"/>
    <x v="12"/>
    <n v="38"/>
  </r>
  <r>
    <x v="106"/>
    <x v="12"/>
    <n v="26"/>
  </r>
  <r>
    <x v="107"/>
    <x v="12"/>
    <n v="21"/>
  </r>
  <r>
    <x v="108"/>
    <x v="12"/>
    <n v="18"/>
  </r>
  <r>
    <x v="109"/>
    <x v="12"/>
    <n v="25"/>
  </r>
  <r>
    <x v="110"/>
    <x v="12"/>
    <n v="32"/>
  </r>
  <r>
    <x v="111"/>
    <x v="12"/>
    <n v="34"/>
  </r>
  <r>
    <x v="112"/>
    <x v="12"/>
    <n v="33"/>
  </r>
  <r>
    <x v="113"/>
    <x v="12"/>
    <n v="35"/>
  </r>
  <r>
    <x v="114"/>
    <x v="12"/>
    <n v="25"/>
  </r>
  <r>
    <x v="115"/>
    <x v="12"/>
    <n v="16"/>
  </r>
  <r>
    <x v="116"/>
    <x v="12"/>
    <n v="31"/>
  </r>
  <r>
    <x v="117"/>
    <x v="12"/>
    <n v="38"/>
  </r>
  <r>
    <x v="118"/>
    <x v="12"/>
    <n v="32"/>
  </r>
  <r>
    <x v="119"/>
    <x v="12"/>
    <n v="16"/>
  </r>
  <r>
    <x v="120"/>
    <x v="12"/>
    <n v="10"/>
  </r>
  <r>
    <x v="121"/>
    <x v="12"/>
    <n v="20"/>
  </r>
  <r>
    <x v="122"/>
    <x v="12"/>
    <n v="29"/>
  </r>
  <r>
    <x v="123"/>
    <x v="12"/>
    <n v="23"/>
  </r>
  <r>
    <x v="124"/>
    <x v="12"/>
    <n v="21"/>
  </r>
  <r>
    <x v="125"/>
    <x v="12"/>
    <n v="20"/>
  </r>
  <r>
    <x v="126"/>
    <x v="12"/>
    <n v="19"/>
  </r>
  <r>
    <x v="127"/>
    <x v="12"/>
    <n v="6"/>
  </r>
  <r>
    <x v="128"/>
    <x v="12"/>
    <n v="10"/>
  </r>
  <r>
    <x v="129"/>
    <x v="12"/>
    <n v="18"/>
  </r>
  <r>
    <x v="130"/>
    <x v="12"/>
    <n v="23"/>
  </r>
  <r>
    <x v="131"/>
    <x v="12"/>
    <n v="26"/>
  </r>
  <r>
    <x v="132"/>
    <x v="12"/>
    <n v="25"/>
  </r>
  <r>
    <x v="133"/>
    <x v="12"/>
    <n v="30"/>
  </r>
  <r>
    <x v="134"/>
    <x v="12"/>
    <n v="23"/>
  </r>
  <r>
    <x v="0"/>
    <x v="13"/>
    <n v="39"/>
  </r>
  <r>
    <x v="1"/>
    <x v="13"/>
    <n v="37"/>
  </r>
  <r>
    <x v="2"/>
    <x v="13"/>
    <n v="42"/>
  </r>
  <r>
    <x v="3"/>
    <x v="13"/>
    <n v="37"/>
  </r>
  <r>
    <x v="4"/>
    <x v="13"/>
    <n v="40"/>
  </r>
  <r>
    <x v="5"/>
    <x v="13"/>
    <n v="38"/>
  </r>
  <r>
    <x v="6"/>
    <x v="13"/>
    <n v="28"/>
  </r>
  <r>
    <x v="7"/>
    <x v="13"/>
    <n v="21"/>
  </r>
  <r>
    <x v="8"/>
    <x v="13"/>
    <n v="16"/>
  </r>
  <r>
    <x v="9"/>
    <x v="13"/>
    <n v="19"/>
  </r>
  <r>
    <x v="10"/>
    <x v="13"/>
    <n v="4"/>
  </r>
  <r>
    <x v="11"/>
    <x v="13"/>
    <n v="9"/>
  </r>
  <r>
    <x v="12"/>
    <x v="13"/>
    <n v="5"/>
  </r>
  <r>
    <x v="13"/>
    <x v="13"/>
    <n v="2"/>
  </r>
  <r>
    <x v="14"/>
    <x v="13"/>
    <n v="-12"/>
  </r>
  <r>
    <x v="15"/>
    <x v="13"/>
    <n v="-1"/>
  </r>
  <r>
    <x v="16"/>
    <x v="13"/>
    <n v="3"/>
  </r>
  <r>
    <x v="17"/>
    <x v="13"/>
    <n v="5"/>
  </r>
  <r>
    <x v="18"/>
    <x v="13"/>
    <n v="8"/>
  </r>
  <r>
    <x v="19"/>
    <x v="13"/>
    <n v="13"/>
  </r>
  <r>
    <x v="20"/>
    <x v="13"/>
    <n v="12"/>
  </r>
  <r>
    <x v="21"/>
    <x v="13"/>
    <n v="1"/>
  </r>
  <r>
    <x v="22"/>
    <x v="13"/>
    <n v="6"/>
  </r>
  <r>
    <x v="23"/>
    <x v="13"/>
    <n v="-43"/>
  </r>
  <r>
    <x v="24"/>
    <x v="13"/>
    <n v="-108"/>
  </r>
  <r>
    <x v="25"/>
    <x v="13"/>
    <n v="-20"/>
  </r>
  <r>
    <x v="26"/>
    <x v="13"/>
    <n v="-49"/>
  </r>
  <r>
    <x v="27"/>
    <x v="13"/>
    <n v="-101"/>
  </r>
  <r>
    <x v="28"/>
    <x v="13"/>
    <n v="82"/>
  </r>
  <r>
    <x v="29"/>
    <x v="13"/>
    <n v="-32"/>
  </r>
  <r>
    <x v="30"/>
    <x v="13"/>
    <n v="43"/>
  </r>
  <r>
    <x v="31"/>
    <x v="13"/>
    <n v="31"/>
  </r>
  <r>
    <x v="32"/>
    <x v="13"/>
    <n v="-137"/>
  </r>
  <r>
    <x v="33"/>
    <x v="13"/>
    <n v="-75"/>
  </r>
  <r>
    <x v="34"/>
    <x v="13"/>
    <n v="-16"/>
  </r>
  <r>
    <x v="35"/>
    <x v="13"/>
    <n v="-182"/>
  </r>
  <r>
    <x v="36"/>
    <x v="13"/>
    <n v="-104"/>
  </r>
  <r>
    <x v="37"/>
    <x v="13"/>
    <n v="37"/>
  </r>
  <r>
    <x v="38"/>
    <x v="13"/>
    <n v="4"/>
  </r>
  <r>
    <x v="39"/>
    <x v="13"/>
    <n v="44"/>
  </r>
  <r>
    <x v="40"/>
    <x v="13"/>
    <n v="-69"/>
  </r>
  <r>
    <x v="41"/>
    <x v="13"/>
    <n v="-52"/>
  </r>
  <r>
    <x v="42"/>
    <x v="13"/>
    <n v="-5"/>
  </r>
  <r>
    <x v="43"/>
    <x v="13"/>
    <n v="-34"/>
  </r>
  <r>
    <x v="44"/>
    <x v="13"/>
    <n v="-49"/>
  </r>
  <r>
    <x v="45"/>
    <x v="13"/>
    <n v="-59"/>
  </r>
  <r>
    <x v="46"/>
    <x v="13"/>
    <n v="-39"/>
  </r>
  <r>
    <x v="47"/>
    <x v="13"/>
    <n v="-130"/>
  </r>
  <r>
    <x v="48"/>
    <x v="13"/>
    <n v="-205"/>
  </r>
  <r>
    <x v="49"/>
    <x v="13"/>
    <n v="-97"/>
  </r>
  <r>
    <x v="50"/>
    <x v="13"/>
    <n v="-237"/>
  </r>
  <r>
    <x v="51"/>
    <x v="13"/>
    <n v="-26"/>
  </r>
  <r>
    <x v="52"/>
    <x v="13"/>
    <n v="-81"/>
  </r>
  <r>
    <x v="53"/>
    <x v="13"/>
    <n v="-94"/>
  </r>
  <r>
    <x v="54"/>
    <x v="13"/>
    <n v="-31"/>
  </r>
  <r>
    <x v="55"/>
    <x v="13"/>
    <n v="-139"/>
  </r>
  <r>
    <x v="56"/>
    <x v="13"/>
    <n v="26"/>
  </r>
  <r>
    <x v="57"/>
    <x v="13"/>
    <n v="74"/>
  </r>
  <r>
    <x v="58"/>
    <x v="13"/>
    <n v="-72"/>
  </r>
  <r>
    <x v="59"/>
    <x v="13"/>
    <n v="-155"/>
  </r>
  <r>
    <x v="60"/>
    <x v="13"/>
    <n v="16"/>
  </r>
  <r>
    <x v="61"/>
    <x v="13"/>
    <n v="-26"/>
  </r>
  <r>
    <x v="62"/>
    <x v="13"/>
    <n v="-69"/>
  </r>
  <r>
    <x v="63"/>
    <x v="13"/>
    <n v="136"/>
  </r>
  <r>
    <x v="64"/>
    <x v="13"/>
    <n v="-49"/>
  </r>
  <r>
    <x v="65"/>
    <x v="13"/>
    <n v="-143"/>
  </r>
  <r>
    <x v="66"/>
    <x v="13"/>
    <n v="41"/>
  </r>
  <r>
    <x v="67"/>
    <x v="13"/>
    <n v="28"/>
  </r>
  <r>
    <x v="68"/>
    <x v="13"/>
    <n v="-83"/>
  </r>
  <r>
    <x v="69"/>
    <x v="13"/>
    <n v="-152"/>
  </r>
  <r>
    <x v="70"/>
    <x v="13"/>
    <n v="-68"/>
  </r>
  <r>
    <x v="71"/>
    <x v="13"/>
    <n v="-48"/>
  </r>
  <r>
    <x v="72"/>
    <x v="13"/>
    <n v="-21"/>
  </r>
  <r>
    <x v="73"/>
    <x v="13"/>
    <n v="-93"/>
  </r>
  <r>
    <x v="74"/>
    <x v="13"/>
    <n v="-69"/>
  </r>
  <r>
    <x v="75"/>
    <x v="13"/>
    <n v="130"/>
  </r>
  <r>
    <x v="76"/>
    <x v="13"/>
    <n v="59"/>
  </r>
  <r>
    <x v="77"/>
    <x v="13"/>
    <n v="39"/>
  </r>
  <r>
    <x v="78"/>
    <x v="13"/>
    <n v="-68"/>
  </r>
  <r>
    <x v="79"/>
    <x v="13"/>
    <n v="-36"/>
  </r>
  <r>
    <x v="80"/>
    <x v="13"/>
    <n v="-86"/>
  </r>
  <r>
    <x v="81"/>
    <x v="13"/>
    <n v="12"/>
  </r>
  <r>
    <x v="82"/>
    <x v="13"/>
    <n v="-85"/>
  </r>
  <r>
    <x v="83"/>
    <x v="13"/>
    <n v="5"/>
  </r>
  <r>
    <x v="84"/>
    <x v="13"/>
    <n v="-44"/>
  </r>
  <r>
    <x v="85"/>
    <x v="13"/>
    <n v="-6"/>
  </r>
  <r>
    <x v="86"/>
    <x v="13"/>
    <n v="15"/>
  </r>
  <r>
    <x v="87"/>
    <x v="13"/>
    <n v="27"/>
  </r>
  <r>
    <x v="88"/>
    <x v="13"/>
    <n v="-14"/>
  </r>
  <r>
    <x v="89"/>
    <x v="13"/>
    <n v="-4"/>
  </r>
  <r>
    <x v="90"/>
    <x v="13"/>
    <n v="41"/>
  </r>
  <r>
    <x v="91"/>
    <x v="13"/>
    <n v="25"/>
  </r>
  <r>
    <x v="92"/>
    <x v="13"/>
    <n v="55"/>
  </r>
  <r>
    <x v="93"/>
    <x v="13"/>
    <n v="29"/>
  </r>
  <r>
    <x v="94"/>
    <x v="13"/>
    <n v="58"/>
  </r>
  <r>
    <x v="95"/>
    <x v="13"/>
    <n v="28"/>
  </r>
  <r>
    <x v="96"/>
    <x v="13"/>
    <n v="-36"/>
  </r>
  <r>
    <x v="97"/>
    <x v="13"/>
    <n v="13"/>
  </r>
  <r>
    <x v="98"/>
    <x v="13"/>
    <n v="-5"/>
  </r>
  <r>
    <x v="99"/>
    <x v="13"/>
    <n v="-24"/>
  </r>
  <r>
    <x v="100"/>
    <x v="13"/>
    <n v="104"/>
  </r>
  <r>
    <x v="101"/>
    <x v="13"/>
    <n v="54"/>
  </r>
  <r>
    <x v="102"/>
    <x v="13"/>
    <n v="-27"/>
  </r>
  <r>
    <x v="103"/>
    <x v="13"/>
    <n v="4"/>
  </r>
  <r>
    <x v="104"/>
    <x v="13"/>
    <n v="58"/>
  </r>
  <r>
    <x v="105"/>
    <x v="13"/>
    <n v="14"/>
  </r>
  <r>
    <x v="106"/>
    <x v="13"/>
    <n v="-3"/>
  </r>
  <r>
    <x v="107"/>
    <x v="13"/>
    <n v="18"/>
  </r>
  <r>
    <x v="108"/>
    <x v="13"/>
    <n v="105"/>
  </r>
  <r>
    <x v="109"/>
    <x v="13"/>
    <n v="34"/>
  </r>
  <r>
    <x v="110"/>
    <x v="13"/>
    <n v="28"/>
  </r>
  <r>
    <x v="111"/>
    <x v="13"/>
    <n v="99"/>
  </r>
  <r>
    <x v="112"/>
    <x v="13"/>
    <n v="42"/>
  </r>
  <r>
    <x v="113"/>
    <x v="13"/>
    <n v="-13"/>
  </r>
  <r>
    <x v="114"/>
    <x v="13"/>
    <n v="-11"/>
  </r>
  <r>
    <x v="115"/>
    <x v="13"/>
    <n v="8"/>
  </r>
  <r>
    <x v="116"/>
    <x v="13"/>
    <n v="111"/>
  </r>
  <r>
    <x v="117"/>
    <x v="13"/>
    <n v="-4"/>
  </r>
  <r>
    <x v="118"/>
    <x v="13"/>
    <n v="21"/>
  </r>
  <r>
    <x v="119"/>
    <x v="13"/>
    <n v="3"/>
  </r>
  <r>
    <x v="120"/>
    <x v="13"/>
    <n v="34"/>
  </r>
  <r>
    <x v="121"/>
    <x v="13"/>
    <n v="49"/>
  </r>
  <r>
    <x v="122"/>
    <x v="13"/>
    <n v="87"/>
  </r>
  <r>
    <x v="123"/>
    <x v="13"/>
    <n v="59"/>
  </r>
  <r>
    <x v="124"/>
    <x v="13"/>
    <n v="-6"/>
  </r>
  <r>
    <x v="125"/>
    <x v="13"/>
    <n v="76"/>
  </r>
  <r>
    <x v="126"/>
    <x v="13"/>
    <n v="36"/>
  </r>
  <r>
    <x v="127"/>
    <x v="13"/>
    <n v="117"/>
  </r>
  <r>
    <x v="128"/>
    <x v="13"/>
    <n v="50"/>
  </r>
  <r>
    <x v="129"/>
    <x v="13"/>
    <n v="85"/>
  </r>
  <r>
    <x v="130"/>
    <x v="13"/>
    <n v="38"/>
  </r>
  <r>
    <x v="131"/>
    <x v="13"/>
    <n v="93"/>
  </r>
  <r>
    <x v="132"/>
    <x v="13"/>
    <n v="32"/>
  </r>
  <r>
    <x v="133"/>
    <x v="13"/>
    <n v="67"/>
  </r>
  <r>
    <x v="134"/>
    <x v="13"/>
    <n v="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47386-FDAE-414E-B18A-98006513A7DB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Year" colHeaderCaption="Zone">
  <location ref="Y6:AN143" firstHeaderRow="1" firstDataRow="2" firstDataCol="1"/>
  <pivotFields count="3">
    <pivotField axis="axisRow" showAll="0">
      <items count="1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t="default"/>
      </items>
    </pivotField>
    <pivotField axis="axisCol" showAll="0">
      <items count="15">
        <item n="Global" x="0"/>
        <item x="8"/>
        <item x="3"/>
        <item x="4"/>
        <item x="10"/>
        <item x="7"/>
        <item x="11"/>
        <item x="6"/>
        <item x="12"/>
        <item x="5"/>
        <item x="13"/>
        <item x="9"/>
        <item x="1"/>
        <item x="2"/>
        <item t="default"/>
      </items>
    </pivotField>
    <pivotField dataField="1" showAll="0"/>
  </pivotFields>
  <rowFields count="1">
    <field x="0"/>
  </rowFields>
  <rowItems count="1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Temp " fld="2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4605F-66AE-4FFF-9B7C-A61C85A29EAE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Year" colHeaderCaption="Month">
  <location ref="C6:V144" firstHeaderRow="1" firstDataRow="2" firstDataCol="1"/>
  <pivotFields count="3">
    <pivotField axis="axisRow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3"/>
        <item x="12"/>
        <item x="16"/>
        <item x="15"/>
        <item x="17"/>
        <item t="default"/>
      </items>
    </pivotField>
    <pivotField dataField="1" showAll="0"/>
  </pivotFields>
  <rowFields count="1">
    <field x="0"/>
  </rowFields>
  <rowItems count="1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 t="grand">
      <x/>
    </i>
  </rowItems>
  <colFields count="1">
    <field x="1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Temp " fld="2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49"/>
  <sheetViews>
    <sheetView workbookViewId="0">
      <selection sqref="A1:C2449"/>
    </sheetView>
  </sheetViews>
  <sheetFormatPr defaultColWidth="11" defaultRowHeight="15.75" x14ac:dyDescent="0.5"/>
  <cols>
    <col min="1" max="1" width="4.6875" bestFit="1" customWidth="1"/>
    <col min="2" max="2" width="6.25" style="1" bestFit="1" customWidth="1"/>
    <col min="3" max="3" width="5.375" bestFit="1" customWidth="1"/>
    <col min="4" max="4" width="3.6875" customWidth="1"/>
    <col min="5" max="5" width="4" bestFit="1" customWidth="1"/>
    <col min="6" max="6" width="4" customWidth="1"/>
    <col min="7" max="7" width="4.5" bestFit="1" customWidth="1"/>
    <col min="8" max="8" width="4.5" customWidth="1"/>
    <col min="9" max="9" width="4" bestFit="1" customWidth="1"/>
    <col min="10" max="10" width="4" customWidth="1"/>
    <col min="11" max="11" width="4.6875" bestFit="1" customWidth="1"/>
    <col min="12" max="12" width="4.6875" customWidth="1"/>
    <col min="13" max="13" width="3.8125" bestFit="1" customWidth="1"/>
    <col min="14" max="14" width="3.8125" customWidth="1"/>
    <col min="15" max="15" width="5" bestFit="1" customWidth="1"/>
    <col min="16" max="16" width="5" customWidth="1"/>
    <col min="17" max="17" width="5" bestFit="1" customWidth="1"/>
    <col min="18" max="18" width="5" customWidth="1"/>
    <col min="19" max="19" width="5" bestFit="1" customWidth="1"/>
    <col min="20" max="20" width="5" customWidth="1"/>
    <col min="21" max="21" width="5" bestFit="1" customWidth="1"/>
    <col min="22" max="22" width="5" customWidth="1"/>
    <col min="23" max="23" width="5" bestFit="1" customWidth="1"/>
    <col min="24" max="24" width="5" customWidth="1"/>
    <col min="25" max="25" width="5" bestFit="1" customWidth="1"/>
    <col min="26" max="26" width="5" customWidth="1"/>
    <col min="27" max="27" width="5" bestFit="1" customWidth="1"/>
    <col min="28" max="28" width="5" customWidth="1"/>
    <col min="29" max="29" width="4.1875" bestFit="1" customWidth="1"/>
    <col min="30" max="30" width="4.1875" customWidth="1"/>
    <col min="31" max="31" width="5" bestFit="1" customWidth="1"/>
    <col min="32" max="32" width="5" customWidth="1"/>
    <col min="33" max="33" width="5.6875" bestFit="1" customWidth="1"/>
    <col min="34" max="34" width="5.6875" customWidth="1"/>
    <col min="35" max="35" width="5" bestFit="1" customWidth="1"/>
    <col min="36" max="36" width="5" customWidth="1"/>
    <col min="37" max="37" width="5" bestFit="1" customWidth="1"/>
  </cols>
  <sheetData>
    <row r="1" spans="1:3" x14ac:dyDescent="0.5">
      <c r="A1" t="s">
        <v>0</v>
      </c>
      <c r="B1" s="1" t="s">
        <v>33</v>
      </c>
      <c r="C1" t="s">
        <v>34</v>
      </c>
    </row>
    <row r="2" spans="1:3" x14ac:dyDescent="0.5">
      <c r="A2">
        <v>1880</v>
      </c>
      <c r="B2" s="1" t="s">
        <v>15</v>
      </c>
      <c r="C2">
        <v>-29</v>
      </c>
    </row>
    <row r="3" spans="1:3" x14ac:dyDescent="0.5">
      <c r="A3">
        <v>1881</v>
      </c>
      <c r="B3" s="1" t="s">
        <v>15</v>
      </c>
      <c r="C3">
        <v>-8</v>
      </c>
    </row>
    <row r="4" spans="1:3" x14ac:dyDescent="0.5">
      <c r="A4">
        <v>1882</v>
      </c>
      <c r="B4" s="1" t="s">
        <v>15</v>
      </c>
      <c r="C4">
        <v>10</v>
      </c>
    </row>
    <row r="5" spans="1:3" x14ac:dyDescent="0.5">
      <c r="A5">
        <v>1883</v>
      </c>
      <c r="B5" s="1" t="s">
        <v>15</v>
      </c>
      <c r="C5">
        <v>-32</v>
      </c>
    </row>
    <row r="6" spans="1:3" x14ac:dyDescent="0.5">
      <c r="A6">
        <v>1884</v>
      </c>
      <c r="B6" s="1" t="s">
        <v>15</v>
      </c>
      <c r="C6">
        <v>-17</v>
      </c>
    </row>
    <row r="7" spans="1:3" x14ac:dyDescent="0.5">
      <c r="A7">
        <v>1885</v>
      </c>
      <c r="B7" s="1" t="s">
        <v>15</v>
      </c>
      <c r="C7">
        <v>-64</v>
      </c>
    </row>
    <row r="8" spans="1:3" x14ac:dyDescent="0.5">
      <c r="A8">
        <v>1886</v>
      </c>
      <c r="B8" s="1" t="s">
        <v>15</v>
      </c>
      <c r="C8">
        <v>-41</v>
      </c>
    </row>
    <row r="9" spans="1:3" x14ac:dyDescent="0.5">
      <c r="A9">
        <v>1887</v>
      </c>
      <c r="B9" s="1" t="s">
        <v>15</v>
      </c>
      <c r="C9">
        <v>-65</v>
      </c>
    </row>
    <row r="10" spans="1:3" x14ac:dyDescent="0.5">
      <c r="A10">
        <v>1888</v>
      </c>
      <c r="B10" s="1" t="s">
        <v>15</v>
      </c>
      <c r="C10">
        <v>-42</v>
      </c>
    </row>
    <row r="11" spans="1:3" x14ac:dyDescent="0.5">
      <c r="A11">
        <v>1889</v>
      </c>
      <c r="B11" s="1" t="s">
        <v>15</v>
      </c>
      <c r="C11">
        <v>-19</v>
      </c>
    </row>
    <row r="12" spans="1:3" x14ac:dyDescent="0.5">
      <c r="A12">
        <v>1890</v>
      </c>
      <c r="B12" s="1" t="s">
        <v>15</v>
      </c>
      <c r="C12">
        <v>-46</v>
      </c>
    </row>
    <row r="13" spans="1:3" x14ac:dyDescent="0.5">
      <c r="A13">
        <v>1891</v>
      </c>
      <c r="B13" s="1" t="s">
        <v>15</v>
      </c>
      <c r="C13">
        <v>-45</v>
      </c>
    </row>
    <row r="14" spans="1:3" x14ac:dyDescent="0.5">
      <c r="A14">
        <v>1892</v>
      </c>
      <c r="B14" s="1" t="s">
        <v>15</v>
      </c>
      <c r="C14">
        <v>-24</v>
      </c>
    </row>
    <row r="15" spans="1:3" x14ac:dyDescent="0.5">
      <c r="A15">
        <v>1893</v>
      </c>
      <c r="B15" s="1" t="s">
        <v>15</v>
      </c>
      <c r="C15">
        <v>-67</v>
      </c>
    </row>
    <row r="16" spans="1:3" x14ac:dyDescent="0.5">
      <c r="A16">
        <v>1894</v>
      </c>
      <c r="B16" s="1" t="s">
        <v>15</v>
      </c>
      <c r="C16">
        <v>-54</v>
      </c>
    </row>
    <row r="17" spans="1:3" x14ac:dyDescent="0.5">
      <c r="A17">
        <v>1895</v>
      </c>
      <c r="B17" s="1" t="s">
        <v>15</v>
      </c>
      <c r="C17">
        <v>-43</v>
      </c>
    </row>
    <row r="18" spans="1:3" x14ac:dyDescent="0.5">
      <c r="A18">
        <v>1896</v>
      </c>
      <c r="B18" s="1" t="s">
        <v>15</v>
      </c>
      <c r="C18">
        <v>-22</v>
      </c>
    </row>
    <row r="19" spans="1:3" x14ac:dyDescent="0.5">
      <c r="A19">
        <v>1897</v>
      </c>
      <c r="B19" s="1" t="s">
        <v>15</v>
      </c>
      <c r="C19">
        <v>-22</v>
      </c>
    </row>
    <row r="20" spans="1:3" x14ac:dyDescent="0.5">
      <c r="A20">
        <v>1898</v>
      </c>
      <c r="B20" s="1" t="s">
        <v>15</v>
      </c>
      <c r="C20">
        <v>-7</v>
      </c>
    </row>
    <row r="21" spans="1:3" x14ac:dyDescent="0.5">
      <c r="A21">
        <v>1899</v>
      </c>
      <c r="B21" s="1" t="s">
        <v>15</v>
      </c>
      <c r="C21">
        <v>-17</v>
      </c>
    </row>
    <row r="22" spans="1:3" x14ac:dyDescent="0.5">
      <c r="A22">
        <v>1900</v>
      </c>
      <c r="B22" s="1" t="s">
        <v>15</v>
      </c>
      <c r="C22">
        <v>-39</v>
      </c>
    </row>
    <row r="23" spans="1:3" x14ac:dyDescent="0.5">
      <c r="A23">
        <v>1901</v>
      </c>
      <c r="B23" s="1" t="s">
        <v>15</v>
      </c>
      <c r="C23">
        <v>-28</v>
      </c>
    </row>
    <row r="24" spans="1:3" x14ac:dyDescent="0.5">
      <c r="A24">
        <v>1902</v>
      </c>
      <c r="B24" s="1" t="s">
        <v>15</v>
      </c>
      <c r="C24">
        <v>-18</v>
      </c>
    </row>
    <row r="25" spans="1:3" x14ac:dyDescent="0.5">
      <c r="A25">
        <v>1903</v>
      </c>
      <c r="B25" s="1" t="s">
        <v>15</v>
      </c>
      <c r="C25">
        <v>-27</v>
      </c>
    </row>
    <row r="26" spans="1:3" x14ac:dyDescent="0.5">
      <c r="A26">
        <v>1904</v>
      </c>
      <c r="B26" s="1" t="s">
        <v>15</v>
      </c>
      <c r="C26">
        <v>-63</v>
      </c>
    </row>
    <row r="27" spans="1:3" x14ac:dyDescent="0.5">
      <c r="A27">
        <v>1905</v>
      </c>
      <c r="B27" s="1" t="s">
        <v>15</v>
      </c>
      <c r="C27">
        <v>-37</v>
      </c>
    </row>
    <row r="28" spans="1:3" x14ac:dyDescent="0.5">
      <c r="A28">
        <v>1906</v>
      </c>
      <c r="B28" s="1" t="s">
        <v>15</v>
      </c>
      <c r="C28">
        <v>-29</v>
      </c>
    </row>
    <row r="29" spans="1:3" x14ac:dyDescent="0.5">
      <c r="A29">
        <v>1907</v>
      </c>
      <c r="B29" s="1" t="s">
        <v>15</v>
      </c>
      <c r="C29">
        <v>-43</v>
      </c>
    </row>
    <row r="30" spans="1:3" x14ac:dyDescent="0.5">
      <c r="A30">
        <v>1908</v>
      </c>
      <c r="B30" s="1" t="s">
        <v>15</v>
      </c>
      <c r="C30">
        <v>-44</v>
      </c>
    </row>
    <row r="31" spans="1:3" x14ac:dyDescent="0.5">
      <c r="A31">
        <v>1909</v>
      </c>
      <c r="B31" s="1" t="s">
        <v>15</v>
      </c>
      <c r="C31">
        <v>-69</v>
      </c>
    </row>
    <row r="32" spans="1:3" x14ac:dyDescent="0.5">
      <c r="A32">
        <v>1910</v>
      </c>
      <c r="B32" s="1" t="s">
        <v>15</v>
      </c>
      <c r="C32">
        <v>-44</v>
      </c>
    </row>
    <row r="33" spans="1:3" x14ac:dyDescent="0.5">
      <c r="A33">
        <v>1911</v>
      </c>
      <c r="B33" s="1" t="s">
        <v>15</v>
      </c>
      <c r="C33">
        <v>-63</v>
      </c>
    </row>
    <row r="34" spans="1:3" x14ac:dyDescent="0.5">
      <c r="A34">
        <v>1912</v>
      </c>
      <c r="B34" s="1" t="s">
        <v>15</v>
      </c>
      <c r="C34">
        <v>-27</v>
      </c>
    </row>
    <row r="35" spans="1:3" x14ac:dyDescent="0.5">
      <c r="A35">
        <v>1913</v>
      </c>
      <c r="B35" s="1" t="s">
        <v>15</v>
      </c>
      <c r="C35">
        <v>-40</v>
      </c>
    </row>
    <row r="36" spans="1:3" x14ac:dyDescent="0.5">
      <c r="A36">
        <v>1914</v>
      </c>
      <c r="B36" s="1" t="s">
        <v>15</v>
      </c>
      <c r="C36">
        <v>2</v>
      </c>
    </row>
    <row r="37" spans="1:3" x14ac:dyDescent="0.5">
      <c r="A37">
        <v>1915</v>
      </c>
      <c r="B37" s="1" t="s">
        <v>15</v>
      </c>
      <c r="C37">
        <v>-19</v>
      </c>
    </row>
    <row r="38" spans="1:3" x14ac:dyDescent="0.5">
      <c r="A38">
        <v>1916</v>
      </c>
      <c r="B38" s="1" t="s">
        <v>15</v>
      </c>
      <c r="C38">
        <v>-19</v>
      </c>
    </row>
    <row r="39" spans="1:3" x14ac:dyDescent="0.5">
      <c r="A39">
        <v>1917</v>
      </c>
      <c r="B39" s="1" t="s">
        <v>15</v>
      </c>
      <c r="C39">
        <v>-46</v>
      </c>
    </row>
    <row r="40" spans="1:3" x14ac:dyDescent="0.5">
      <c r="A40">
        <v>1918</v>
      </c>
      <c r="B40" s="1" t="s">
        <v>15</v>
      </c>
      <c r="C40">
        <v>-43</v>
      </c>
    </row>
    <row r="41" spans="1:3" x14ac:dyDescent="0.5">
      <c r="A41">
        <v>1919</v>
      </c>
      <c r="B41" s="1" t="s">
        <v>15</v>
      </c>
      <c r="C41">
        <v>-17</v>
      </c>
    </row>
    <row r="42" spans="1:3" x14ac:dyDescent="0.5">
      <c r="A42">
        <v>1920</v>
      </c>
      <c r="B42" s="1" t="s">
        <v>15</v>
      </c>
      <c r="C42">
        <v>-14</v>
      </c>
    </row>
    <row r="43" spans="1:3" x14ac:dyDescent="0.5">
      <c r="A43">
        <v>1921</v>
      </c>
      <c r="B43" s="1" t="s">
        <v>15</v>
      </c>
      <c r="C43">
        <v>-2</v>
      </c>
    </row>
    <row r="44" spans="1:3" x14ac:dyDescent="0.5">
      <c r="A44">
        <v>1922</v>
      </c>
      <c r="B44" s="1" t="s">
        <v>15</v>
      </c>
      <c r="C44">
        <v>-31</v>
      </c>
    </row>
    <row r="45" spans="1:3" x14ac:dyDescent="0.5">
      <c r="A45">
        <v>1923</v>
      </c>
      <c r="B45" s="1" t="s">
        <v>15</v>
      </c>
      <c r="C45">
        <v>-25</v>
      </c>
    </row>
    <row r="46" spans="1:3" x14ac:dyDescent="0.5">
      <c r="A46">
        <v>1924</v>
      </c>
      <c r="B46" s="1" t="s">
        <v>15</v>
      </c>
      <c r="C46">
        <v>-21</v>
      </c>
    </row>
    <row r="47" spans="1:3" x14ac:dyDescent="0.5">
      <c r="A47">
        <v>1925</v>
      </c>
      <c r="B47" s="1" t="s">
        <v>15</v>
      </c>
      <c r="C47">
        <v>-32</v>
      </c>
    </row>
    <row r="48" spans="1:3" x14ac:dyDescent="0.5">
      <c r="A48">
        <v>1926</v>
      </c>
      <c r="B48" s="1" t="s">
        <v>15</v>
      </c>
      <c r="C48">
        <v>22</v>
      </c>
    </row>
    <row r="49" spans="1:3" x14ac:dyDescent="0.5">
      <c r="A49">
        <v>1927</v>
      </c>
      <c r="B49" s="1" t="s">
        <v>15</v>
      </c>
      <c r="C49">
        <v>-26</v>
      </c>
    </row>
    <row r="50" spans="1:3" x14ac:dyDescent="0.5">
      <c r="A50">
        <v>1928</v>
      </c>
      <c r="B50" s="1" t="s">
        <v>15</v>
      </c>
      <c r="C50">
        <v>-2</v>
      </c>
    </row>
    <row r="51" spans="1:3" x14ac:dyDescent="0.5">
      <c r="A51">
        <v>1929</v>
      </c>
      <c r="B51" s="1" t="s">
        <v>15</v>
      </c>
      <c r="C51">
        <v>-46</v>
      </c>
    </row>
    <row r="52" spans="1:3" x14ac:dyDescent="0.5">
      <c r="A52">
        <v>1930</v>
      </c>
      <c r="B52" s="1" t="s">
        <v>15</v>
      </c>
      <c r="C52">
        <v>-28</v>
      </c>
    </row>
    <row r="53" spans="1:3" x14ac:dyDescent="0.5">
      <c r="A53">
        <v>1931</v>
      </c>
      <c r="B53" s="1" t="s">
        <v>15</v>
      </c>
      <c r="C53">
        <v>-10</v>
      </c>
    </row>
    <row r="54" spans="1:3" x14ac:dyDescent="0.5">
      <c r="A54">
        <v>1932</v>
      </c>
      <c r="B54" s="1" t="s">
        <v>15</v>
      </c>
      <c r="C54">
        <v>14</v>
      </c>
    </row>
    <row r="55" spans="1:3" x14ac:dyDescent="0.5">
      <c r="A55">
        <v>1933</v>
      </c>
      <c r="B55" s="1" t="s">
        <v>15</v>
      </c>
      <c r="C55">
        <v>-31</v>
      </c>
    </row>
    <row r="56" spans="1:3" x14ac:dyDescent="0.5">
      <c r="A56">
        <v>1934</v>
      </c>
      <c r="B56" s="1" t="s">
        <v>15</v>
      </c>
      <c r="C56">
        <v>-25</v>
      </c>
    </row>
    <row r="57" spans="1:3" x14ac:dyDescent="0.5">
      <c r="A57">
        <v>1935</v>
      </c>
      <c r="B57" s="1" t="s">
        <v>15</v>
      </c>
      <c r="C57">
        <v>-37</v>
      </c>
    </row>
    <row r="58" spans="1:3" x14ac:dyDescent="0.5">
      <c r="A58">
        <v>1936</v>
      </c>
      <c r="B58" s="1" t="s">
        <v>15</v>
      </c>
      <c r="C58">
        <v>-28</v>
      </c>
    </row>
    <row r="59" spans="1:3" x14ac:dyDescent="0.5">
      <c r="A59">
        <v>1937</v>
      </c>
      <c r="B59" s="1" t="s">
        <v>15</v>
      </c>
      <c r="C59">
        <v>-7</v>
      </c>
    </row>
    <row r="60" spans="1:3" x14ac:dyDescent="0.5">
      <c r="A60">
        <v>1938</v>
      </c>
      <c r="B60" s="1" t="s">
        <v>15</v>
      </c>
      <c r="C60">
        <v>3</v>
      </c>
    </row>
    <row r="61" spans="1:3" x14ac:dyDescent="0.5">
      <c r="A61">
        <v>1939</v>
      </c>
      <c r="B61" s="1" t="s">
        <v>15</v>
      </c>
      <c r="C61">
        <v>-12</v>
      </c>
    </row>
    <row r="62" spans="1:3" x14ac:dyDescent="0.5">
      <c r="A62">
        <v>1940</v>
      </c>
      <c r="B62" s="1" t="s">
        <v>15</v>
      </c>
      <c r="C62">
        <v>-13</v>
      </c>
    </row>
    <row r="63" spans="1:3" x14ac:dyDescent="0.5">
      <c r="A63">
        <v>1941</v>
      </c>
      <c r="B63" s="1" t="s">
        <v>15</v>
      </c>
      <c r="C63">
        <v>13</v>
      </c>
    </row>
    <row r="64" spans="1:3" x14ac:dyDescent="0.5">
      <c r="A64">
        <v>1942</v>
      </c>
      <c r="B64" s="1" t="s">
        <v>15</v>
      </c>
      <c r="C64">
        <v>29</v>
      </c>
    </row>
    <row r="65" spans="1:3" x14ac:dyDescent="0.5">
      <c r="A65">
        <v>1943</v>
      </c>
      <c r="B65" s="1" t="s">
        <v>15</v>
      </c>
      <c r="C65">
        <v>1</v>
      </c>
    </row>
    <row r="66" spans="1:3" x14ac:dyDescent="0.5">
      <c r="A66">
        <v>1944</v>
      </c>
      <c r="B66" s="1" t="s">
        <v>15</v>
      </c>
      <c r="C66">
        <v>42</v>
      </c>
    </row>
    <row r="67" spans="1:3" x14ac:dyDescent="0.5">
      <c r="A67">
        <v>1945</v>
      </c>
      <c r="B67" s="1" t="s">
        <v>15</v>
      </c>
      <c r="C67">
        <v>15</v>
      </c>
    </row>
    <row r="68" spans="1:3" x14ac:dyDescent="0.5">
      <c r="A68">
        <v>1946</v>
      </c>
      <c r="B68" s="1" t="s">
        <v>15</v>
      </c>
      <c r="C68">
        <v>17</v>
      </c>
    </row>
    <row r="69" spans="1:3" x14ac:dyDescent="0.5">
      <c r="A69">
        <v>1947</v>
      </c>
      <c r="B69" s="1" t="s">
        <v>15</v>
      </c>
      <c r="C69">
        <v>-8</v>
      </c>
    </row>
    <row r="70" spans="1:3" x14ac:dyDescent="0.5">
      <c r="A70">
        <v>1948</v>
      </c>
      <c r="B70" s="1" t="s">
        <v>15</v>
      </c>
      <c r="C70">
        <v>6</v>
      </c>
    </row>
    <row r="71" spans="1:3" x14ac:dyDescent="0.5">
      <c r="A71">
        <v>1949</v>
      </c>
      <c r="B71" s="1" t="s">
        <v>15</v>
      </c>
      <c r="C71">
        <v>10</v>
      </c>
    </row>
    <row r="72" spans="1:3" x14ac:dyDescent="0.5">
      <c r="A72">
        <v>1950</v>
      </c>
      <c r="B72" s="1" t="s">
        <v>15</v>
      </c>
      <c r="C72">
        <v>-27</v>
      </c>
    </row>
    <row r="73" spans="1:3" x14ac:dyDescent="0.5">
      <c r="A73">
        <v>1951</v>
      </c>
      <c r="B73" s="1" t="s">
        <v>15</v>
      </c>
      <c r="C73">
        <v>-35</v>
      </c>
    </row>
    <row r="74" spans="1:3" x14ac:dyDescent="0.5">
      <c r="A74">
        <v>1952</v>
      </c>
      <c r="B74" s="1" t="s">
        <v>15</v>
      </c>
      <c r="C74">
        <v>16</v>
      </c>
    </row>
    <row r="75" spans="1:3" x14ac:dyDescent="0.5">
      <c r="A75">
        <v>1953</v>
      </c>
      <c r="B75" s="1" t="s">
        <v>15</v>
      </c>
      <c r="C75">
        <v>9</v>
      </c>
    </row>
    <row r="76" spans="1:3" x14ac:dyDescent="0.5">
      <c r="A76">
        <v>1954</v>
      </c>
      <c r="B76" s="1" t="s">
        <v>15</v>
      </c>
      <c r="C76">
        <v>-27</v>
      </c>
    </row>
    <row r="77" spans="1:3" x14ac:dyDescent="0.5">
      <c r="A77">
        <v>1955</v>
      </c>
      <c r="B77" s="1" t="s">
        <v>15</v>
      </c>
      <c r="C77">
        <v>12</v>
      </c>
    </row>
    <row r="78" spans="1:3" x14ac:dyDescent="0.5">
      <c r="A78">
        <v>1956</v>
      </c>
      <c r="B78" s="1" t="s">
        <v>15</v>
      </c>
      <c r="C78">
        <v>-16</v>
      </c>
    </row>
    <row r="79" spans="1:3" x14ac:dyDescent="0.5">
      <c r="A79">
        <v>1957</v>
      </c>
      <c r="B79" s="1" t="s">
        <v>15</v>
      </c>
      <c r="C79">
        <v>-13</v>
      </c>
    </row>
    <row r="80" spans="1:3" x14ac:dyDescent="0.5">
      <c r="A80">
        <v>1958</v>
      </c>
      <c r="B80" s="1" t="s">
        <v>15</v>
      </c>
      <c r="C80">
        <v>37</v>
      </c>
    </row>
    <row r="81" spans="1:3" x14ac:dyDescent="0.5">
      <c r="A81">
        <v>1959</v>
      </c>
      <c r="B81" s="1" t="s">
        <v>15</v>
      </c>
      <c r="C81">
        <v>6</v>
      </c>
    </row>
    <row r="82" spans="1:3" x14ac:dyDescent="0.5">
      <c r="A82">
        <v>1960</v>
      </c>
      <c r="B82" s="1" t="s">
        <v>15</v>
      </c>
      <c r="C82">
        <v>-2</v>
      </c>
    </row>
    <row r="83" spans="1:3" x14ac:dyDescent="0.5">
      <c r="A83">
        <v>1961</v>
      </c>
      <c r="B83" s="1" t="s">
        <v>15</v>
      </c>
      <c r="C83">
        <v>7</v>
      </c>
    </row>
    <row r="84" spans="1:3" x14ac:dyDescent="0.5">
      <c r="A84">
        <v>1962</v>
      </c>
      <c r="B84" s="1" t="s">
        <v>15</v>
      </c>
      <c r="C84">
        <v>7</v>
      </c>
    </row>
    <row r="85" spans="1:3" x14ac:dyDescent="0.5">
      <c r="A85">
        <v>1963</v>
      </c>
      <c r="B85" s="1" t="s">
        <v>15</v>
      </c>
      <c r="C85">
        <v>-3</v>
      </c>
    </row>
    <row r="86" spans="1:3" x14ac:dyDescent="0.5">
      <c r="A86">
        <v>1964</v>
      </c>
      <c r="B86" s="1" t="s">
        <v>15</v>
      </c>
      <c r="C86">
        <v>-6</v>
      </c>
    </row>
    <row r="87" spans="1:3" x14ac:dyDescent="0.5">
      <c r="A87">
        <v>1965</v>
      </c>
      <c r="B87" s="1" t="s">
        <v>15</v>
      </c>
      <c r="C87">
        <v>-9</v>
      </c>
    </row>
    <row r="88" spans="1:3" x14ac:dyDescent="0.5">
      <c r="A88">
        <v>1966</v>
      </c>
      <c r="B88" s="1" t="s">
        <v>15</v>
      </c>
      <c r="C88">
        <v>-16</v>
      </c>
    </row>
    <row r="89" spans="1:3" x14ac:dyDescent="0.5">
      <c r="A89">
        <v>1967</v>
      </c>
      <c r="B89" s="1" t="s">
        <v>15</v>
      </c>
      <c r="C89">
        <v>-7</v>
      </c>
    </row>
    <row r="90" spans="1:3" x14ac:dyDescent="0.5">
      <c r="A90">
        <v>1968</v>
      </c>
      <c r="B90" s="1" t="s">
        <v>15</v>
      </c>
      <c r="C90">
        <v>-22</v>
      </c>
    </row>
    <row r="91" spans="1:3" x14ac:dyDescent="0.5">
      <c r="A91">
        <v>1969</v>
      </c>
      <c r="B91" s="1" t="s">
        <v>15</v>
      </c>
      <c r="C91">
        <v>-11</v>
      </c>
    </row>
    <row r="92" spans="1:3" x14ac:dyDescent="0.5">
      <c r="A92">
        <v>1970</v>
      </c>
      <c r="B92" s="1" t="s">
        <v>15</v>
      </c>
      <c r="C92">
        <v>10</v>
      </c>
    </row>
    <row r="93" spans="1:3" x14ac:dyDescent="0.5">
      <c r="A93">
        <v>1971</v>
      </c>
      <c r="B93" s="1" t="s">
        <v>15</v>
      </c>
      <c r="C93">
        <v>-3</v>
      </c>
    </row>
    <row r="94" spans="1:3" x14ac:dyDescent="0.5">
      <c r="A94">
        <v>1972</v>
      </c>
      <c r="B94" s="1" t="s">
        <v>15</v>
      </c>
      <c r="C94">
        <v>-26</v>
      </c>
    </row>
    <row r="95" spans="1:3" x14ac:dyDescent="0.5">
      <c r="A95">
        <v>1973</v>
      </c>
      <c r="B95" s="1" t="s">
        <v>15</v>
      </c>
      <c r="C95">
        <v>27</v>
      </c>
    </row>
    <row r="96" spans="1:3" x14ac:dyDescent="0.5">
      <c r="A96">
        <v>1974</v>
      </c>
      <c r="B96" s="1" t="s">
        <v>15</v>
      </c>
      <c r="C96">
        <v>-14</v>
      </c>
    </row>
    <row r="97" spans="1:3" x14ac:dyDescent="0.5">
      <c r="A97">
        <v>1975</v>
      </c>
      <c r="B97" s="1" t="s">
        <v>15</v>
      </c>
      <c r="C97">
        <v>8</v>
      </c>
    </row>
    <row r="98" spans="1:3" x14ac:dyDescent="0.5">
      <c r="A98">
        <v>1976</v>
      </c>
      <c r="B98" s="1" t="s">
        <v>15</v>
      </c>
      <c r="C98">
        <v>-1</v>
      </c>
    </row>
    <row r="99" spans="1:3" x14ac:dyDescent="0.5">
      <c r="A99">
        <v>1977</v>
      </c>
      <c r="B99" s="1" t="s">
        <v>15</v>
      </c>
      <c r="C99">
        <v>17</v>
      </c>
    </row>
    <row r="100" spans="1:3" x14ac:dyDescent="0.5">
      <c r="A100">
        <v>1978</v>
      </c>
      <c r="B100" s="1" t="s">
        <v>15</v>
      </c>
      <c r="C100">
        <v>8</v>
      </c>
    </row>
    <row r="101" spans="1:3" x14ac:dyDescent="0.5">
      <c r="A101">
        <v>1979</v>
      </c>
      <c r="B101" s="1" t="s">
        <v>15</v>
      </c>
      <c r="C101">
        <v>15</v>
      </c>
    </row>
    <row r="102" spans="1:3" x14ac:dyDescent="0.5">
      <c r="A102">
        <v>1980</v>
      </c>
      <c r="B102" s="1" t="s">
        <v>15</v>
      </c>
      <c r="C102">
        <v>30</v>
      </c>
    </row>
    <row r="103" spans="1:3" x14ac:dyDescent="0.5">
      <c r="A103">
        <v>1981</v>
      </c>
      <c r="B103" s="1" t="s">
        <v>15</v>
      </c>
      <c r="C103">
        <v>55</v>
      </c>
    </row>
    <row r="104" spans="1:3" x14ac:dyDescent="0.5">
      <c r="A104">
        <v>1982</v>
      </c>
      <c r="B104" s="1" t="s">
        <v>15</v>
      </c>
      <c r="C104">
        <v>9</v>
      </c>
    </row>
    <row r="105" spans="1:3" x14ac:dyDescent="0.5">
      <c r="A105">
        <v>1983</v>
      </c>
      <c r="B105" s="1" t="s">
        <v>15</v>
      </c>
      <c r="C105">
        <v>53</v>
      </c>
    </row>
    <row r="106" spans="1:3" x14ac:dyDescent="0.5">
      <c r="A106">
        <v>1984</v>
      </c>
      <c r="B106" s="1" t="s">
        <v>15</v>
      </c>
      <c r="C106">
        <v>31</v>
      </c>
    </row>
    <row r="107" spans="1:3" x14ac:dyDescent="0.5">
      <c r="A107">
        <v>1985</v>
      </c>
      <c r="B107" s="1" t="s">
        <v>15</v>
      </c>
      <c r="C107">
        <v>22</v>
      </c>
    </row>
    <row r="108" spans="1:3" x14ac:dyDescent="0.5">
      <c r="A108">
        <v>1986</v>
      </c>
      <c r="B108" s="1" t="s">
        <v>15</v>
      </c>
      <c r="C108">
        <v>30</v>
      </c>
    </row>
    <row r="109" spans="1:3" x14ac:dyDescent="0.5">
      <c r="A109">
        <v>1987</v>
      </c>
      <c r="B109" s="1" t="s">
        <v>15</v>
      </c>
      <c r="C109">
        <v>36</v>
      </c>
    </row>
    <row r="110" spans="1:3" x14ac:dyDescent="0.5">
      <c r="A110">
        <v>1988</v>
      </c>
      <c r="B110" s="1" t="s">
        <v>15</v>
      </c>
      <c r="C110">
        <v>57</v>
      </c>
    </row>
    <row r="111" spans="1:3" x14ac:dyDescent="0.5">
      <c r="A111">
        <v>1989</v>
      </c>
      <c r="B111" s="1" t="s">
        <v>15</v>
      </c>
      <c r="C111">
        <v>16</v>
      </c>
    </row>
    <row r="112" spans="1:3" x14ac:dyDescent="0.5">
      <c r="A112">
        <v>1990</v>
      </c>
      <c r="B112" s="1" t="s">
        <v>15</v>
      </c>
      <c r="C112">
        <v>40</v>
      </c>
    </row>
    <row r="113" spans="1:3" x14ac:dyDescent="0.5">
      <c r="A113">
        <v>1991</v>
      </c>
      <c r="B113" s="1" t="s">
        <v>15</v>
      </c>
      <c r="C113">
        <v>42</v>
      </c>
    </row>
    <row r="114" spans="1:3" x14ac:dyDescent="0.5">
      <c r="A114">
        <v>1992</v>
      </c>
      <c r="B114" s="1" t="s">
        <v>15</v>
      </c>
      <c r="C114">
        <v>45</v>
      </c>
    </row>
    <row r="115" spans="1:3" x14ac:dyDescent="0.5">
      <c r="A115">
        <v>1993</v>
      </c>
      <c r="B115" s="1" t="s">
        <v>15</v>
      </c>
      <c r="C115">
        <v>37</v>
      </c>
    </row>
    <row r="116" spans="1:3" x14ac:dyDescent="0.5">
      <c r="A116">
        <v>1994</v>
      </c>
      <c r="B116" s="1" t="s">
        <v>15</v>
      </c>
      <c r="C116">
        <v>31</v>
      </c>
    </row>
    <row r="117" spans="1:3" x14ac:dyDescent="0.5">
      <c r="A117">
        <v>1995</v>
      </c>
      <c r="B117" s="1" t="s">
        <v>15</v>
      </c>
      <c r="C117">
        <v>51</v>
      </c>
    </row>
    <row r="118" spans="1:3" x14ac:dyDescent="0.5">
      <c r="A118">
        <v>1996</v>
      </c>
      <c r="B118" s="1" t="s">
        <v>15</v>
      </c>
      <c r="C118">
        <v>27</v>
      </c>
    </row>
    <row r="119" spans="1:3" x14ac:dyDescent="0.5">
      <c r="A119">
        <v>1997</v>
      </c>
      <c r="B119" s="1" t="s">
        <v>15</v>
      </c>
      <c r="C119">
        <v>33</v>
      </c>
    </row>
    <row r="120" spans="1:3" x14ac:dyDescent="0.5">
      <c r="A120">
        <v>1998</v>
      </c>
      <c r="B120" s="1" t="s">
        <v>15</v>
      </c>
      <c r="C120">
        <v>61</v>
      </c>
    </row>
    <row r="121" spans="1:3" x14ac:dyDescent="0.5">
      <c r="A121">
        <v>1999</v>
      </c>
      <c r="B121" s="1" t="s">
        <v>15</v>
      </c>
      <c r="C121">
        <v>48</v>
      </c>
    </row>
    <row r="122" spans="1:3" x14ac:dyDescent="0.5">
      <c r="A122">
        <v>2000</v>
      </c>
      <c r="B122" s="1" t="s">
        <v>15</v>
      </c>
      <c r="C122">
        <v>26</v>
      </c>
    </row>
    <row r="123" spans="1:3" x14ac:dyDescent="0.5">
      <c r="A123">
        <v>2001</v>
      </c>
      <c r="B123" s="1" t="s">
        <v>15</v>
      </c>
      <c r="C123">
        <v>45</v>
      </c>
    </row>
    <row r="124" spans="1:3" x14ac:dyDescent="0.5">
      <c r="A124">
        <v>2002</v>
      </c>
      <c r="B124" s="1" t="s">
        <v>15</v>
      </c>
      <c r="C124">
        <v>74</v>
      </c>
    </row>
    <row r="125" spans="1:3" x14ac:dyDescent="0.5">
      <c r="A125">
        <v>2003</v>
      </c>
      <c r="B125" s="1" t="s">
        <v>15</v>
      </c>
      <c r="C125">
        <v>72</v>
      </c>
    </row>
    <row r="126" spans="1:3" x14ac:dyDescent="0.5">
      <c r="A126">
        <v>2004</v>
      </c>
      <c r="B126" s="1" t="s">
        <v>15</v>
      </c>
      <c r="C126">
        <v>58</v>
      </c>
    </row>
    <row r="127" spans="1:3" x14ac:dyDescent="0.5">
      <c r="A127">
        <v>2005</v>
      </c>
      <c r="B127" s="1" t="s">
        <v>15</v>
      </c>
      <c r="C127">
        <v>72</v>
      </c>
    </row>
    <row r="128" spans="1:3" x14ac:dyDescent="0.5">
      <c r="A128">
        <v>2006</v>
      </c>
      <c r="B128" s="1" t="s">
        <v>15</v>
      </c>
      <c r="C128">
        <v>57</v>
      </c>
    </row>
    <row r="129" spans="1:3" x14ac:dyDescent="0.5">
      <c r="A129">
        <v>2007</v>
      </c>
      <c r="B129" s="1" t="s">
        <v>15</v>
      </c>
      <c r="C129">
        <v>97</v>
      </c>
    </row>
    <row r="130" spans="1:3" x14ac:dyDescent="0.5">
      <c r="A130">
        <v>2008</v>
      </c>
      <c r="B130" s="1" t="s">
        <v>15</v>
      </c>
      <c r="C130">
        <v>27</v>
      </c>
    </row>
    <row r="131" spans="1:3" x14ac:dyDescent="0.5">
      <c r="A131">
        <v>2009</v>
      </c>
      <c r="B131" s="1" t="s">
        <v>15</v>
      </c>
      <c r="C131">
        <v>62</v>
      </c>
    </row>
    <row r="132" spans="1:3" x14ac:dyDescent="0.5">
      <c r="A132">
        <v>2010</v>
      </c>
      <c r="B132" s="1" t="s">
        <v>15</v>
      </c>
      <c r="C132">
        <v>73</v>
      </c>
    </row>
    <row r="133" spans="1:3" x14ac:dyDescent="0.5">
      <c r="A133">
        <v>2011</v>
      </c>
      <c r="B133" s="1" t="s">
        <v>15</v>
      </c>
      <c r="C133">
        <v>50</v>
      </c>
    </row>
    <row r="134" spans="1:3" x14ac:dyDescent="0.5">
      <c r="A134">
        <v>2012</v>
      </c>
      <c r="B134" s="1" t="s">
        <v>15</v>
      </c>
      <c r="C134">
        <v>45</v>
      </c>
    </row>
    <row r="135" spans="1:3" x14ac:dyDescent="0.5">
      <c r="A135">
        <v>2013</v>
      </c>
      <c r="B135" s="1" t="s">
        <v>15</v>
      </c>
      <c r="C135">
        <v>67</v>
      </c>
    </row>
    <row r="136" spans="1:3" x14ac:dyDescent="0.5">
      <c r="A136">
        <v>2014</v>
      </c>
      <c r="B136" s="1" t="s">
        <v>15</v>
      </c>
      <c r="C136">
        <v>74</v>
      </c>
    </row>
    <row r="137" spans="1:3" x14ac:dyDescent="0.5">
      <c r="A137">
        <v>2015</v>
      </c>
      <c r="B137" s="1" t="s">
        <v>15</v>
      </c>
      <c r="C137">
        <v>82</v>
      </c>
    </row>
    <row r="138" spans="1:3" x14ac:dyDescent="0.5">
      <c r="A138">
        <v>1880</v>
      </c>
      <c r="B138" s="1" t="s">
        <v>16</v>
      </c>
      <c r="C138">
        <v>-19</v>
      </c>
    </row>
    <row r="139" spans="1:3" x14ac:dyDescent="0.5">
      <c r="A139">
        <v>1881</v>
      </c>
      <c r="B139" s="1" t="s">
        <v>16</v>
      </c>
      <c r="C139">
        <v>-13</v>
      </c>
    </row>
    <row r="140" spans="1:3" x14ac:dyDescent="0.5">
      <c r="A140">
        <v>1882</v>
      </c>
      <c r="B140" s="1" t="s">
        <v>16</v>
      </c>
      <c r="C140">
        <v>10</v>
      </c>
    </row>
    <row r="141" spans="1:3" x14ac:dyDescent="0.5">
      <c r="A141">
        <v>1883</v>
      </c>
      <c r="B141" s="1" t="s">
        <v>16</v>
      </c>
      <c r="C141">
        <v>-41</v>
      </c>
    </row>
    <row r="142" spans="1:3" x14ac:dyDescent="0.5">
      <c r="A142">
        <v>1884</v>
      </c>
      <c r="B142" s="1" t="s">
        <v>16</v>
      </c>
      <c r="C142">
        <v>-11</v>
      </c>
    </row>
    <row r="143" spans="1:3" x14ac:dyDescent="0.5">
      <c r="A143">
        <v>1885</v>
      </c>
      <c r="B143" s="1" t="s">
        <v>16</v>
      </c>
      <c r="C143">
        <v>-29</v>
      </c>
    </row>
    <row r="144" spans="1:3" x14ac:dyDescent="0.5">
      <c r="A144">
        <v>1886</v>
      </c>
      <c r="B144" s="1" t="s">
        <v>16</v>
      </c>
      <c r="C144">
        <v>-45</v>
      </c>
    </row>
    <row r="145" spans="1:3" x14ac:dyDescent="0.5">
      <c r="A145">
        <v>1887</v>
      </c>
      <c r="B145" s="1" t="s">
        <v>16</v>
      </c>
      <c r="C145">
        <v>-47</v>
      </c>
    </row>
    <row r="146" spans="1:3" x14ac:dyDescent="0.5">
      <c r="A146">
        <v>1888</v>
      </c>
      <c r="B146" s="1" t="s">
        <v>16</v>
      </c>
      <c r="C146">
        <v>-42</v>
      </c>
    </row>
    <row r="147" spans="1:3" x14ac:dyDescent="0.5">
      <c r="A147">
        <v>1889</v>
      </c>
      <c r="B147" s="1" t="s">
        <v>16</v>
      </c>
      <c r="C147">
        <v>15</v>
      </c>
    </row>
    <row r="148" spans="1:3" x14ac:dyDescent="0.5">
      <c r="A148">
        <v>1890</v>
      </c>
      <c r="B148" s="1" t="s">
        <v>16</v>
      </c>
      <c r="C148">
        <v>-48</v>
      </c>
    </row>
    <row r="149" spans="1:3" x14ac:dyDescent="0.5">
      <c r="A149">
        <v>1891</v>
      </c>
      <c r="B149" s="1" t="s">
        <v>16</v>
      </c>
      <c r="C149">
        <v>-48</v>
      </c>
    </row>
    <row r="150" spans="1:3" x14ac:dyDescent="0.5">
      <c r="A150">
        <v>1892</v>
      </c>
      <c r="B150" s="1" t="s">
        <v>16</v>
      </c>
      <c r="C150">
        <v>-14</v>
      </c>
    </row>
    <row r="151" spans="1:3" x14ac:dyDescent="0.5">
      <c r="A151">
        <v>1893</v>
      </c>
      <c r="B151" s="1" t="s">
        <v>16</v>
      </c>
      <c r="C151">
        <v>-50</v>
      </c>
    </row>
    <row r="152" spans="1:3" x14ac:dyDescent="0.5">
      <c r="A152">
        <v>1894</v>
      </c>
      <c r="B152" s="1" t="s">
        <v>16</v>
      </c>
      <c r="C152">
        <v>-31</v>
      </c>
    </row>
    <row r="153" spans="1:3" x14ac:dyDescent="0.5">
      <c r="A153">
        <v>1895</v>
      </c>
      <c r="B153" s="1" t="s">
        <v>16</v>
      </c>
      <c r="C153">
        <v>-42</v>
      </c>
    </row>
    <row r="154" spans="1:3" x14ac:dyDescent="0.5">
      <c r="A154">
        <v>1896</v>
      </c>
      <c r="B154" s="1" t="s">
        <v>16</v>
      </c>
      <c r="C154">
        <v>-15</v>
      </c>
    </row>
    <row r="155" spans="1:3" x14ac:dyDescent="0.5">
      <c r="A155">
        <v>1897</v>
      </c>
      <c r="B155" s="1" t="s">
        <v>16</v>
      </c>
      <c r="C155">
        <v>-19</v>
      </c>
    </row>
    <row r="156" spans="1:3" x14ac:dyDescent="0.5">
      <c r="A156">
        <v>1898</v>
      </c>
      <c r="B156" s="1" t="s">
        <v>16</v>
      </c>
      <c r="C156">
        <v>-33</v>
      </c>
    </row>
    <row r="157" spans="1:3" x14ac:dyDescent="0.5">
      <c r="A157">
        <v>1899</v>
      </c>
      <c r="B157" s="1" t="s">
        <v>16</v>
      </c>
      <c r="C157">
        <v>-39</v>
      </c>
    </row>
    <row r="158" spans="1:3" x14ac:dyDescent="0.5">
      <c r="A158">
        <v>1900</v>
      </c>
      <c r="B158" s="1" t="s">
        <v>16</v>
      </c>
      <c r="C158">
        <v>-6</v>
      </c>
    </row>
    <row r="159" spans="1:3" x14ac:dyDescent="0.5">
      <c r="A159">
        <v>1901</v>
      </c>
      <c r="B159" s="1" t="s">
        <v>16</v>
      </c>
      <c r="C159">
        <v>-4</v>
      </c>
    </row>
    <row r="160" spans="1:3" x14ac:dyDescent="0.5">
      <c r="A160">
        <v>1902</v>
      </c>
      <c r="B160" s="1" t="s">
        <v>16</v>
      </c>
      <c r="C160">
        <v>-2</v>
      </c>
    </row>
    <row r="161" spans="1:3" x14ac:dyDescent="0.5">
      <c r="A161">
        <v>1903</v>
      </c>
      <c r="B161" s="1" t="s">
        <v>16</v>
      </c>
      <c r="C161">
        <v>-5</v>
      </c>
    </row>
    <row r="162" spans="1:3" x14ac:dyDescent="0.5">
      <c r="A162">
        <v>1904</v>
      </c>
      <c r="B162" s="1" t="s">
        <v>16</v>
      </c>
      <c r="C162">
        <v>-54</v>
      </c>
    </row>
    <row r="163" spans="1:3" x14ac:dyDescent="0.5">
      <c r="A163">
        <v>1905</v>
      </c>
      <c r="B163" s="1" t="s">
        <v>16</v>
      </c>
      <c r="C163">
        <v>-58</v>
      </c>
    </row>
    <row r="164" spans="1:3" x14ac:dyDescent="0.5">
      <c r="A164">
        <v>1906</v>
      </c>
      <c r="B164" s="1" t="s">
        <v>16</v>
      </c>
      <c r="C164">
        <v>-32</v>
      </c>
    </row>
    <row r="165" spans="1:3" x14ac:dyDescent="0.5">
      <c r="A165">
        <v>1907</v>
      </c>
      <c r="B165" s="1" t="s">
        <v>16</v>
      </c>
      <c r="C165">
        <v>-50</v>
      </c>
    </row>
    <row r="166" spans="1:3" x14ac:dyDescent="0.5">
      <c r="A166">
        <v>1908</v>
      </c>
      <c r="B166" s="1" t="s">
        <v>16</v>
      </c>
      <c r="C166">
        <v>-35</v>
      </c>
    </row>
    <row r="167" spans="1:3" x14ac:dyDescent="0.5">
      <c r="A167">
        <v>1909</v>
      </c>
      <c r="B167" s="1" t="s">
        <v>16</v>
      </c>
      <c r="C167">
        <v>-46</v>
      </c>
    </row>
    <row r="168" spans="1:3" x14ac:dyDescent="0.5">
      <c r="A168">
        <v>1910</v>
      </c>
      <c r="B168" s="1" t="s">
        <v>16</v>
      </c>
      <c r="C168">
        <v>-43</v>
      </c>
    </row>
    <row r="169" spans="1:3" x14ac:dyDescent="0.5">
      <c r="A169">
        <v>1911</v>
      </c>
      <c r="B169" s="1" t="s">
        <v>16</v>
      </c>
      <c r="C169">
        <v>-60</v>
      </c>
    </row>
    <row r="170" spans="1:3" x14ac:dyDescent="0.5">
      <c r="A170">
        <v>1912</v>
      </c>
      <c r="B170" s="1" t="s">
        <v>16</v>
      </c>
      <c r="C170">
        <v>-14</v>
      </c>
    </row>
    <row r="171" spans="1:3" x14ac:dyDescent="0.5">
      <c r="A171">
        <v>1913</v>
      </c>
      <c r="B171" s="1" t="s">
        <v>16</v>
      </c>
      <c r="C171">
        <v>-43</v>
      </c>
    </row>
    <row r="172" spans="1:3" x14ac:dyDescent="0.5">
      <c r="A172">
        <v>1914</v>
      </c>
      <c r="B172" s="1" t="s">
        <v>16</v>
      </c>
      <c r="C172">
        <v>-13</v>
      </c>
    </row>
    <row r="173" spans="1:3" x14ac:dyDescent="0.5">
      <c r="A173">
        <v>1915</v>
      </c>
      <c r="B173" s="1" t="s">
        <v>16</v>
      </c>
      <c r="C173">
        <v>-1</v>
      </c>
    </row>
    <row r="174" spans="1:3" x14ac:dyDescent="0.5">
      <c r="A174">
        <v>1916</v>
      </c>
      <c r="B174" s="1" t="s">
        <v>16</v>
      </c>
      <c r="C174">
        <v>-21</v>
      </c>
    </row>
    <row r="175" spans="1:3" x14ac:dyDescent="0.5">
      <c r="A175">
        <v>1917</v>
      </c>
      <c r="B175" s="1" t="s">
        <v>16</v>
      </c>
      <c r="C175">
        <v>-55</v>
      </c>
    </row>
    <row r="176" spans="1:3" x14ac:dyDescent="0.5">
      <c r="A176">
        <v>1918</v>
      </c>
      <c r="B176" s="1" t="s">
        <v>16</v>
      </c>
      <c r="C176">
        <v>-31</v>
      </c>
    </row>
    <row r="177" spans="1:3" x14ac:dyDescent="0.5">
      <c r="A177">
        <v>1919</v>
      </c>
      <c r="B177" s="1" t="s">
        <v>16</v>
      </c>
      <c r="C177">
        <v>-20</v>
      </c>
    </row>
    <row r="178" spans="1:3" x14ac:dyDescent="0.5">
      <c r="A178">
        <v>1920</v>
      </c>
      <c r="B178" s="1" t="s">
        <v>16</v>
      </c>
      <c r="C178">
        <v>-22</v>
      </c>
    </row>
    <row r="179" spans="1:3" x14ac:dyDescent="0.5">
      <c r="A179">
        <v>1921</v>
      </c>
      <c r="B179" s="1" t="s">
        <v>16</v>
      </c>
      <c r="C179">
        <v>-20</v>
      </c>
    </row>
    <row r="180" spans="1:3" x14ac:dyDescent="0.5">
      <c r="A180">
        <v>1922</v>
      </c>
      <c r="B180" s="1" t="s">
        <v>16</v>
      </c>
      <c r="C180">
        <v>-40</v>
      </c>
    </row>
    <row r="181" spans="1:3" x14ac:dyDescent="0.5">
      <c r="A181">
        <v>1923</v>
      </c>
      <c r="B181" s="1" t="s">
        <v>16</v>
      </c>
      <c r="C181">
        <v>-35</v>
      </c>
    </row>
    <row r="182" spans="1:3" x14ac:dyDescent="0.5">
      <c r="A182">
        <v>1924</v>
      </c>
      <c r="B182" s="1" t="s">
        <v>16</v>
      </c>
      <c r="C182">
        <v>-25</v>
      </c>
    </row>
    <row r="183" spans="1:3" x14ac:dyDescent="0.5">
      <c r="A183">
        <v>1925</v>
      </c>
      <c r="B183" s="1" t="s">
        <v>16</v>
      </c>
      <c r="C183">
        <v>-32</v>
      </c>
    </row>
    <row r="184" spans="1:3" x14ac:dyDescent="0.5">
      <c r="A184">
        <v>1926</v>
      </c>
      <c r="B184" s="1" t="s">
        <v>16</v>
      </c>
      <c r="C184">
        <v>8</v>
      </c>
    </row>
    <row r="185" spans="1:3" x14ac:dyDescent="0.5">
      <c r="A185">
        <v>1927</v>
      </c>
      <c r="B185" s="1" t="s">
        <v>16</v>
      </c>
      <c r="C185">
        <v>-19</v>
      </c>
    </row>
    <row r="186" spans="1:3" x14ac:dyDescent="0.5">
      <c r="A186">
        <v>1928</v>
      </c>
      <c r="B186" s="1" t="s">
        <v>16</v>
      </c>
      <c r="C186">
        <v>-10</v>
      </c>
    </row>
    <row r="187" spans="1:3" x14ac:dyDescent="0.5">
      <c r="A187">
        <v>1929</v>
      </c>
      <c r="B187" s="1" t="s">
        <v>16</v>
      </c>
      <c r="C187">
        <v>-57</v>
      </c>
    </row>
    <row r="188" spans="1:3" x14ac:dyDescent="0.5">
      <c r="A188">
        <v>1930</v>
      </c>
      <c r="B188" s="1" t="s">
        <v>16</v>
      </c>
      <c r="C188">
        <v>-23</v>
      </c>
    </row>
    <row r="189" spans="1:3" x14ac:dyDescent="0.5">
      <c r="A189">
        <v>1931</v>
      </c>
      <c r="B189" s="1" t="s">
        <v>16</v>
      </c>
      <c r="C189">
        <v>-20</v>
      </c>
    </row>
    <row r="190" spans="1:3" x14ac:dyDescent="0.5">
      <c r="A190">
        <v>1932</v>
      </c>
      <c r="B190" s="1" t="s">
        <v>16</v>
      </c>
      <c r="C190">
        <v>-17</v>
      </c>
    </row>
    <row r="191" spans="1:3" x14ac:dyDescent="0.5">
      <c r="A191">
        <v>1933</v>
      </c>
      <c r="B191" s="1" t="s">
        <v>16</v>
      </c>
      <c r="C191">
        <v>-30</v>
      </c>
    </row>
    <row r="192" spans="1:3" x14ac:dyDescent="0.5">
      <c r="A192">
        <v>1934</v>
      </c>
      <c r="B192" s="1" t="s">
        <v>16</v>
      </c>
      <c r="C192">
        <v>-3</v>
      </c>
    </row>
    <row r="193" spans="1:3" x14ac:dyDescent="0.5">
      <c r="A193">
        <v>1935</v>
      </c>
      <c r="B193" s="1" t="s">
        <v>16</v>
      </c>
      <c r="C193">
        <v>12</v>
      </c>
    </row>
    <row r="194" spans="1:3" x14ac:dyDescent="0.5">
      <c r="A194">
        <v>1936</v>
      </c>
      <c r="B194" s="1" t="s">
        <v>16</v>
      </c>
      <c r="C194">
        <v>-39</v>
      </c>
    </row>
    <row r="195" spans="1:3" x14ac:dyDescent="0.5">
      <c r="A195">
        <v>1937</v>
      </c>
      <c r="B195" s="1" t="s">
        <v>16</v>
      </c>
      <c r="C195">
        <v>7</v>
      </c>
    </row>
    <row r="196" spans="1:3" x14ac:dyDescent="0.5">
      <c r="A196">
        <v>1938</v>
      </c>
      <c r="B196" s="1" t="s">
        <v>16</v>
      </c>
      <c r="C196">
        <v>-2</v>
      </c>
    </row>
    <row r="197" spans="1:3" x14ac:dyDescent="0.5">
      <c r="A197">
        <v>1939</v>
      </c>
      <c r="B197" s="1" t="s">
        <v>16</v>
      </c>
      <c r="C197">
        <v>-11</v>
      </c>
    </row>
    <row r="198" spans="1:3" x14ac:dyDescent="0.5">
      <c r="A198">
        <v>1940</v>
      </c>
      <c r="B198" s="1" t="s">
        <v>16</v>
      </c>
      <c r="C198">
        <v>6</v>
      </c>
    </row>
    <row r="199" spans="1:3" x14ac:dyDescent="0.5">
      <c r="A199">
        <v>1941</v>
      </c>
      <c r="B199" s="1" t="s">
        <v>16</v>
      </c>
      <c r="C199">
        <v>23</v>
      </c>
    </row>
    <row r="200" spans="1:3" x14ac:dyDescent="0.5">
      <c r="A200">
        <v>1942</v>
      </c>
      <c r="B200" s="1" t="s">
        <v>16</v>
      </c>
      <c r="C200">
        <v>7</v>
      </c>
    </row>
    <row r="201" spans="1:3" x14ac:dyDescent="0.5">
      <c r="A201">
        <v>1943</v>
      </c>
      <c r="B201" s="1" t="s">
        <v>16</v>
      </c>
      <c r="C201">
        <v>23</v>
      </c>
    </row>
    <row r="202" spans="1:3" x14ac:dyDescent="0.5">
      <c r="A202">
        <v>1944</v>
      </c>
      <c r="B202" s="1" t="s">
        <v>16</v>
      </c>
      <c r="C202">
        <v>32</v>
      </c>
    </row>
    <row r="203" spans="1:3" x14ac:dyDescent="0.5">
      <c r="A203">
        <v>1945</v>
      </c>
      <c r="B203" s="1" t="s">
        <v>16</v>
      </c>
      <c r="C203">
        <v>5</v>
      </c>
    </row>
    <row r="204" spans="1:3" x14ac:dyDescent="0.5">
      <c r="A204">
        <v>1946</v>
      </c>
      <c r="B204" s="1" t="s">
        <v>16</v>
      </c>
      <c r="C204">
        <v>6</v>
      </c>
    </row>
    <row r="205" spans="1:3" x14ac:dyDescent="0.5">
      <c r="A205">
        <v>1947</v>
      </c>
      <c r="B205" s="1" t="s">
        <v>16</v>
      </c>
      <c r="C205">
        <v>-4</v>
      </c>
    </row>
    <row r="206" spans="1:3" x14ac:dyDescent="0.5">
      <c r="A206">
        <v>1948</v>
      </c>
      <c r="B206" s="1" t="s">
        <v>16</v>
      </c>
      <c r="C206">
        <v>-12</v>
      </c>
    </row>
    <row r="207" spans="1:3" x14ac:dyDescent="0.5">
      <c r="A207">
        <v>1949</v>
      </c>
      <c r="B207" s="1" t="s">
        <v>16</v>
      </c>
      <c r="C207">
        <v>-16</v>
      </c>
    </row>
    <row r="208" spans="1:3" x14ac:dyDescent="0.5">
      <c r="A208">
        <v>1950</v>
      </c>
      <c r="B208" s="1" t="s">
        <v>16</v>
      </c>
      <c r="C208">
        <v>-27</v>
      </c>
    </row>
    <row r="209" spans="1:3" x14ac:dyDescent="0.5">
      <c r="A209">
        <v>1951</v>
      </c>
      <c r="B209" s="1" t="s">
        <v>16</v>
      </c>
      <c r="C209">
        <v>-43</v>
      </c>
    </row>
    <row r="210" spans="1:3" x14ac:dyDescent="0.5">
      <c r="A210">
        <v>1952</v>
      </c>
      <c r="B210" s="1" t="s">
        <v>16</v>
      </c>
      <c r="C210">
        <v>13</v>
      </c>
    </row>
    <row r="211" spans="1:3" x14ac:dyDescent="0.5">
      <c r="A211">
        <v>1953</v>
      </c>
      <c r="B211" s="1" t="s">
        <v>16</v>
      </c>
      <c r="C211">
        <v>16</v>
      </c>
    </row>
    <row r="212" spans="1:3" x14ac:dyDescent="0.5">
      <c r="A212">
        <v>1954</v>
      </c>
      <c r="B212" s="1" t="s">
        <v>16</v>
      </c>
      <c r="C212">
        <v>-10</v>
      </c>
    </row>
    <row r="213" spans="1:3" x14ac:dyDescent="0.5">
      <c r="A213">
        <v>1955</v>
      </c>
      <c r="B213" s="1" t="s">
        <v>16</v>
      </c>
      <c r="C213">
        <v>-21</v>
      </c>
    </row>
    <row r="214" spans="1:3" x14ac:dyDescent="0.5">
      <c r="A214">
        <v>1956</v>
      </c>
      <c r="B214" s="1" t="s">
        <v>16</v>
      </c>
      <c r="C214">
        <v>-25</v>
      </c>
    </row>
    <row r="215" spans="1:3" x14ac:dyDescent="0.5">
      <c r="A215">
        <v>1957</v>
      </c>
      <c r="B215" s="1" t="s">
        <v>16</v>
      </c>
      <c r="C215">
        <v>-6</v>
      </c>
    </row>
    <row r="216" spans="1:3" x14ac:dyDescent="0.5">
      <c r="A216">
        <v>1958</v>
      </c>
      <c r="B216" s="1" t="s">
        <v>16</v>
      </c>
      <c r="C216">
        <v>23</v>
      </c>
    </row>
    <row r="217" spans="1:3" x14ac:dyDescent="0.5">
      <c r="A217">
        <v>1959</v>
      </c>
      <c r="B217" s="1" t="s">
        <v>16</v>
      </c>
      <c r="C217">
        <v>9</v>
      </c>
    </row>
    <row r="218" spans="1:3" x14ac:dyDescent="0.5">
      <c r="A218">
        <v>1960</v>
      </c>
      <c r="B218" s="1" t="s">
        <v>16</v>
      </c>
      <c r="C218">
        <v>13</v>
      </c>
    </row>
    <row r="219" spans="1:3" x14ac:dyDescent="0.5">
      <c r="A219">
        <v>1961</v>
      </c>
      <c r="B219" s="1" t="s">
        <v>16</v>
      </c>
      <c r="C219">
        <v>19</v>
      </c>
    </row>
    <row r="220" spans="1:3" x14ac:dyDescent="0.5">
      <c r="A220">
        <v>1962</v>
      </c>
      <c r="B220" s="1" t="s">
        <v>16</v>
      </c>
      <c r="C220">
        <v>15</v>
      </c>
    </row>
    <row r="221" spans="1:3" x14ac:dyDescent="0.5">
      <c r="A221">
        <v>1963</v>
      </c>
      <c r="B221" s="1" t="s">
        <v>16</v>
      </c>
      <c r="C221">
        <v>18</v>
      </c>
    </row>
    <row r="222" spans="1:3" x14ac:dyDescent="0.5">
      <c r="A222">
        <v>1964</v>
      </c>
      <c r="B222" s="1" t="s">
        <v>16</v>
      </c>
      <c r="C222">
        <v>-11</v>
      </c>
    </row>
    <row r="223" spans="1:3" x14ac:dyDescent="0.5">
      <c r="A223">
        <v>1965</v>
      </c>
      <c r="B223" s="1" t="s">
        <v>16</v>
      </c>
      <c r="C223">
        <v>-17</v>
      </c>
    </row>
    <row r="224" spans="1:3" x14ac:dyDescent="0.5">
      <c r="A224">
        <v>1966</v>
      </c>
      <c r="B224" s="1" t="s">
        <v>16</v>
      </c>
      <c r="C224">
        <v>-1</v>
      </c>
    </row>
    <row r="225" spans="1:3" x14ac:dyDescent="0.5">
      <c r="A225">
        <v>1967</v>
      </c>
      <c r="B225" s="1" t="s">
        <v>16</v>
      </c>
      <c r="C225">
        <v>-19</v>
      </c>
    </row>
    <row r="226" spans="1:3" x14ac:dyDescent="0.5">
      <c r="A226">
        <v>1968</v>
      </c>
      <c r="B226" s="1" t="s">
        <v>16</v>
      </c>
      <c r="C226">
        <v>-14</v>
      </c>
    </row>
    <row r="227" spans="1:3" x14ac:dyDescent="0.5">
      <c r="A227">
        <v>1969</v>
      </c>
      <c r="B227" s="1" t="s">
        <v>16</v>
      </c>
      <c r="C227">
        <v>-14</v>
      </c>
    </row>
    <row r="228" spans="1:3" x14ac:dyDescent="0.5">
      <c r="A228">
        <v>1970</v>
      </c>
      <c r="B228" s="1" t="s">
        <v>16</v>
      </c>
      <c r="C228">
        <v>23</v>
      </c>
    </row>
    <row r="229" spans="1:3" x14ac:dyDescent="0.5">
      <c r="A229">
        <v>1971</v>
      </c>
      <c r="B229" s="1" t="s">
        <v>16</v>
      </c>
      <c r="C229">
        <v>-21</v>
      </c>
    </row>
    <row r="230" spans="1:3" x14ac:dyDescent="0.5">
      <c r="A230">
        <v>1972</v>
      </c>
      <c r="B230" s="1" t="s">
        <v>16</v>
      </c>
      <c r="C230">
        <v>-17</v>
      </c>
    </row>
    <row r="231" spans="1:3" x14ac:dyDescent="0.5">
      <c r="A231">
        <v>1973</v>
      </c>
      <c r="B231" s="1" t="s">
        <v>16</v>
      </c>
      <c r="C231">
        <v>31</v>
      </c>
    </row>
    <row r="232" spans="1:3" x14ac:dyDescent="0.5">
      <c r="A232">
        <v>1974</v>
      </c>
      <c r="B232" s="1" t="s">
        <v>16</v>
      </c>
      <c r="C232">
        <v>-28</v>
      </c>
    </row>
    <row r="233" spans="1:3" x14ac:dyDescent="0.5">
      <c r="A233">
        <v>1975</v>
      </c>
      <c r="B233" s="1" t="s">
        <v>16</v>
      </c>
      <c r="C233">
        <v>7</v>
      </c>
    </row>
    <row r="234" spans="1:3" x14ac:dyDescent="0.5">
      <c r="A234">
        <v>1976</v>
      </c>
      <c r="B234" s="1" t="s">
        <v>16</v>
      </c>
      <c r="C234">
        <v>-6</v>
      </c>
    </row>
    <row r="235" spans="1:3" x14ac:dyDescent="0.5">
      <c r="A235">
        <v>1977</v>
      </c>
      <c r="B235" s="1" t="s">
        <v>16</v>
      </c>
      <c r="C235">
        <v>21</v>
      </c>
    </row>
    <row r="236" spans="1:3" x14ac:dyDescent="0.5">
      <c r="A236">
        <v>1978</v>
      </c>
      <c r="B236" s="1" t="s">
        <v>16</v>
      </c>
      <c r="C236">
        <v>12</v>
      </c>
    </row>
    <row r="237" spans="1:3" x14ac:dyDescent="0.5">
      <c r="A237">
        <v>1979</v>
      </c>
      <c r="B237" s="1" t="s">
        <v>16</v>
      </c>
      <c r="C237">
        <v>-7</v>
      </c>
    </row>
    <row r="238" spans="1:3" x14ac:dyDescent="0.5">
      <c r="A238">
        <v>1980</v>
      </c>
      <c r="B238" s="1" t="s">
        <v>16</v>
      </c>
      <c r="C238">
        <v>42</v>
      </c>
    </row>
    <row r="239" spans="1:3" x14ac:dyDescent="0.5">
      <c r="A239">
        <v>1981</v>
      </c>
      <c r="B239" s="1" t="s">
        <v>16</v>
      </c>
      <c r="C239">
        <v>41</v>
      </c>
    </row>
    <row r="240" spans="1:3" x14ac:dyDescent="0.5">
      <c r="A240">
        <v>1982</v>
      </c>
      <c r="B240" s="1" t="s">
        <v>16</v>
      </c>
      <c r="C240">
        <v>16</v>
      </c>
    </row>
    <row r="241" spans="1:3" x14ac:dyDescent="0.5">
      <c r="A241">
        <v>1983</v>
      </c>
      <c r="B241" s="1" t="s">
        <v>16</v>
      </c>
      <c r="C241">
        <v>41</v>
      </c>
    </row>
    <row r="242" spans="1:3" x14ac:dyDescent="0.5">
      <c r="A242">
        <v>1984</v>
      </c>
      <c r="B242" s="1" t="s">
        <v>16</v>
      </c>
      <c r="C242">
        <v>18</v>
      </c>
    </row>
    <row r="243" spans="1:3" x14ac:dyDescent="0.5">
      <c r="A243">
        <v>1985</v>
      </c>
      <c r="B243" s="1" t="s">
        <v>16</v>
      </c>
      <c r="C243">
        <v>-5</v>
      </c>
    </row>
    <row r="244" spans="1:3" x14ac:dyDescent="0.5">
      <c r="A244">
        <v>1986</v>
      </c>
      <c r="B244" s="1" t="s">
        <v>16</v>
      </c>
      <c r="C244">
        <v>38</v>
      </c>
    </row>
    <row r="245" spans="1:3" x14ac:dyDescent="0.5">
      <c r="A245">
        <v>1987</v>
      </c>
      <c r="B245" s="1" t="s">
        <v>16</v>
      </c>
      <c r="C245">
        <v>46</v>
      </c>
    </row>
    <row r="246" spans="1:3" x14ac:dyDescent="0.5">
      <c r="A246">
        <v>1988</v>
      </c>
      <c r="B246" s="1" t="s">
        <v>16</v>
      </c>
      <c r="C246">
        <v>42</v>
      </c>
    </row>
    <row r="247" spans="1:3" x14ac:dyDescent="0.5">
      <c r="A247">
        <v>1989</v>
      </c>
      <c r="B247" s="1" t="s">
        <v>16</v>
      </c>
      <c r="C247">
        <v>35</v>
      </c>
    </row>
    <row r="248" spans="1:3" x14ac:dyDescent="0.5">
      <c r="A248">
        <v>1990</v>
      </c>
      <c r="B248" s="1" t="s">
        <v>16</v>
      </c>
      <c r="C248">
        <v>41</v>
      </c>
    </row>
    <row r="249" spans="1:3" x14ac:dyDescent="0.5">
      <c r="A249">
        <v>1991</v>
      </c>
      <c r="B249" s="1" t="s">
        <v>16</v>
      </c>
      <c r="C249">
        <v>50</v>
      </c>
    </row>
    <row r="250" spans="1:3" x14ac:dyDescent="0.5">
      <c r="A250">
        <v>1992</v>
      </c>
      <c r="B250" s="1" t="s">
        <v>16</v>
      </c>
      <c r="C250">
        <v>42</v>
      </c>
    </row>
    <row r="251" spans="1:3" x14ac:dyDescent="0.5">
      <c r="A251">
        <v>1993</v>
      </c>
      <c r="B251" s="1" t="s">
        <v>16</v>
      </c>
      <c r="C251">
        <v>39</v>
      </c>
    </row>
    <row r="252" spans="1:3" x14ac:dyDescent="0.5">
      <c r="A252">
        <v>1994</v>
      </c>
      <c r="B252" s="1" t="s">
        <v>16</v>
      </c>
      <c r="C252">
        <v>3</v>
      </c>
    </row>
    <row r="253" spans="1:3" x14ac:dyDescent="0.5">
      <c r="A253">
        <v>1995</v>
      </c>
      <c r="B253" s="1" t="s">
        <v>16</v>
      </c>
      <c r="C253">
        <v>78</v>
      </c>
    </row>
    <row r="254" spans="1:3" x14ac:dyDescent="0.5">
      <c r="A254">
        <v>1996</v>
      </c>
      <c r="B254" s="1" t="s">
        <v>16</v>
      </c>
      <c r="C254">
        <v>49</v>
      </c>
    </row>
    <row r="255" spans="1:3" x14ac:dyDescent="0.5">
      <c r="A255">
        <v>1997</v>
      </c>
      <c r="B255" s="1" t="s">
        <v>16</v>
      </c>
      <c r="C255">
        <v>37</v>
      </c>
    </row>
    <row r="256" spans="1:3" x14ac:dyDescent="0.5">
      <c r="A256">
        <v>1998</v>
      </c>
      <c r="B256" s="1" t="s">
        <v>16</v>
      </c>
      <c r="C256">
        <v>89</v>
      </c>
    </row>
    <row r="257" spans="1:3" x14ac:dyDescent="0.5">
      <c r="A257">
        <v>1999</v>
      </c>
      <c r="B257" s="1" t="s">
        <v>16</v>
      </c>
      <c r="C257">
        <v>67</v>
      </c>
    </row>
    <row r="258" spans="1:3" x14ac:dyDescent="0.5">
      <c r="A258">
        <v>2000</v>
      </c>
      <c r="B258" s="1" t="s">
        <v>16</v>
      </c>
      <c r="C258">
        <v>59</v>
      </c>
    </row>
    <row r="259" spans="1:3" x14ac:dyDescent="0.5">
      <c r="A259">
        <v>2001</v>
      </c>
      <c r="B259" s="1" t="s">
        <v>16</v>
      </c>
      <c r="C259">
        <v>47</v>
      </c>
    </row>
    <row r="260" spans="1:3" x14ac:dyDescent="0.5">
      <c r="A260">
        <v>2002</v>
      </c>
      <c r="B260" s="1" t="s">
        <v>16</v>
      </c>
      <c r="C260">
        <v>76</v>
      </c>
    </row>
    <row r="261" spans="1:3" x14ac:dyDescent="0.5">
      <c r="A261">
        <v>2003</v>
      </c>
      <c r="B261" s="1" t="s">
        <v>16</v>
      </c>
      <c r="C261">
        <v>55</v>
      </c>
    </row>
    <row r="262" spans="1:3" x14ac:dyDescent="0.5">
      <c r="A262">
        <v>2004</v>
      </c>
      <c r="B262" s="1" t="s">
        <v>16</v>
      </c>
      <c r="C262">
        <v>70</v>
      </c>
    </row>
    <row r="263" spans="1:3" x14ac:dyDescent="0.5">
      <c r="A263">
        <v>2005</v>
      </c>
      <c r="B263" s="1" t="s">
        <v>16</v>
      </c>
      <c r="C263">
        <v>59</v>
      </c>
    </row>
    <row r="264" spans="1:3" x14ac:dyDescent="0.5">
      <c r="A264">
        <v>2006</v>
      </c>
      <c r="B264" s="1" t="s">
        <v>16</v>
      </c>
      <c r="C264">
        <v>71</v>
      </c>
    </row>
    <row r="265" spans="1:3" x14ac:dyDescent="0.5">
      <c r="A265">
        <v>2007</v>
      </c>
      <c r="B265" s="1" t="s">
        <v>16</v>
      </c>
      <c r="C265">
        <v>70</v>
      </c>
    </row>
    <row r="266" spans="1:3" x14ac:dyDescent="0.5">
      <c r="A266">
        <v>2008</v>
      </c>
      <c r="B266" s="1" t="s">
        <v>16</v>
      </c>
      <c r="C266">
        <v>36</v>
      </c>
    </row>
    <row r="267" spans="1:3" x14ac:dyDescent="0.5">
      <c r="A267">
        <v>2009</v>
      </c>
      <c r="B267" s="1" t="s">
        <v>16</v>
      </c>
      <c r="C267">
        <v>54</v>
      </c>
    </row>
    <row r="268" spans="1:3" x14ac:dyDescent="0.5">
      <c r="A268">
        <v>2010</v>
      </c>
      <c r="B268" s="1" t="s">
        <v>16</v>
      </c>
      <c r="C268">
        <v>79</v>
      </c>
    </row>
    <row r="269" spans="1:3" x14ac:dyDescent="0.5">
      <c r="A269">
        <v>2011</v>
      </c>
      <c r="B269" s="1" t="s">
        <v>16</v>
      </c>
      <c r="C269">
        <v>51</v>
      </c>
    </row>
    <row r="270" spans="1:3" x14ac:dyDescent="0.5">
      <c r="A270">
        <v>2012</v>
      </c>
      <c r="B270" s="1" t="s">
        <v>16</v>
      </c>
      <c r="C270">
        <v>49</v>
      </c>
    </row>
    <row r="271" spans="1:3" x14ac:dyDescent="0.5">
      <c r="A271">
        <v>2013</v>
      </c>
      <c r="B271" s="1" t="s">
        <v>16</v>
      </c>
      <c r="C271">
        <v>57</v>
      </c>
    </row>
    <row r="272" spans="1:3" x14ac:dyDescent="0.5">
      <c r="A272">
        <v>2014</v>
      </c>
      <c r="B272" s="1" t="s">
        <v>16</v>
      </c>
      <c r="C272">
        <v>50</v>
      </c>
    </row>
    <row r="273" spans="1:3" x14ac:dyDescent="0.5">
      <c r="A273">
        <v>2015</v>
      </c>
      <c r="B273" s="1" t="s">
        <v>16</v>
      </c>
      <c r="C273">
        <v>88</v>
      </c>
    </row>
    <row r="274" spans="1:3" x14ac:dyDescent="0.5">
      <c r="A274">
        <v>1880</v>
      </c>
      <c r="B274" s="1" t="s">
        <v>17</v>
      </c>
      <c r="C274">
        <v>-17</v>
      </c>
    </row>
    <row r="275" spans="1:3" x14ac:dyDescent="0.5">
      <c r="A275">
        <v>1881</v>
      </c>
      <c r="B275" s="1" t="s">
        <v>17</v>
      </c>
      <c r="C275">
        <v>2</v>
      </c>
    </row>
    <row r="276" spans="1:3" x14ac:dyDescent="0.5">
      <c r="A276">
        <v>1882</v>
      </c>
      <c r="B276" s="1" t="s">
        <v>17</v>
      </c>
      <c r="C276">
        <v>2</v>
      </c>
    </row>
    <row r="277" spans="1:3" x14ac:dyDescent="0.5">
      <c r="A277">
        <v>1883</v>
      </c>
      <c r="B277" s="1" t="s">
        <v>17</v>
      </c>
      <c r="C277">
        <v>-17</v>
      </c>
    </row>
    <row r="278" spans="1:3" x14ac:dyDescent="0.5">
      <c r="A278">
        <v>1884</v>
      </c>
      <c r="B278" s="1" t="s">
        <v>17</v>
      </c>
      <c r="C278">
        <v>-33</v>
      </c>
    </row>
    <row r="279" spans="1:3" x14ac:dyDescent="0.5">
      <c r="A279">
        <v>1885</v>
      </c>
      <c r="B279" s="1" t="s">
        <v>17</v>
      </c>
      <c r="C279">
        <v>-23</v>
      </c>
    </row>
    <row r="280" spans="1:3" x14ac:dyDescent="0.5">
      <c r="A280">
        <v>1886</v>
      </c>
      <c r="B280" s="1" t="s">
        <v>17</v>
      </c>
      <c r="C280">
        <v>-41</v>
      </c>
    </row>
    <row r="281" spans="1:3" x14ac:dyDescent="0.5">
      <c r="A281">
        <v>1887</v>
      </c>
      <c r="B281" s="1" t="s">
        <v>17</v>
      </c>
      <c r="C281">
        <v>-31</v>
      </c>
    </row>
    <row r="282" spans="1:3" x14ac:dyDescent="0.5">
      <c r="A282">
        <v>1888</v>
      </c>
      <c r="B282" s="1" t="s">
        <v>17</v>
      </c>
      <c r="C282">
        <v>-47</v>
      </c>
    </row>
    <row r="283" spans="1:3" x14ac:dyDescent="0.5">
      <c r="A283">
        <v>1889</v>
      </c>
      <c r="B283" s="1" t="s">
        <v>17</v>
      </c>
      <c r="C283">
        <v>4</v>
      </c>
    </row>
    <row r="284" spans="1:3" x14ac:dyDescent="0.5">
      <c r="A284">
        <v>1890</v>
      </c>
      <c r="B284" s="1" t="s">
        <v>17</v>
      </c>
      <c r="C284">
        <v>-41</v>
      </c>
    </row>
    <row r="285" spans="1:3" x14ac:dyDescent="0.5">
      <c r="A285">
        <v>1891</v>
      </c>
      <c r="B285" s="1" t="s">
        <v>17</v>
      </c>
      <c r="C285">
        <v>-14</v>
      </c>
    </row>
    <row r="286" spans="1:3" x14ac:dyDescent="0.5">
      <c r="A286">
        <v>1892</v>
      </c>
      <c r="B286" s="1" t="s">
        <v>17</v>
      </c>
      <c r="C286">
        <v>-35</v>
      </c>
    </row>
    <row r="287" spans="1:3" x14ac:dyDescent="0.5">
      <c r="A287">
        <v>1893</v>
      </c>
      <c r="B287" s="1" t="s">
        <v>17</v>
      </c>
      <c r="C287">
        <v>-23</v>
      </c>
    </row>
    <row r="288" spans="1:3" x14ac:dyDescent="0.5">
      <c r="A288">
        <v>1894</v>
      </c>
      <c r="B288" s="1" t="s">
        <v>17</v>
      </c>
      <c r="C288">
        <v>-21</v>
      </c>
    </row>
    <row r="289" spans="1:3" x14ac:dyDescent="0.5">
      <c r="A289">
        <v>1895</v>
      </c>
      <c r="B289" s="1" t="s">
        <v>17</v>
      </c>
      <c r="C289">
        <v>-29</v>
      </c>
    </row>
    <row r="290" spans="1:3" x14ac:dyDescent="0.5">
      <c r="A290">
        <v>1896</v>
      </c>
      <c r="B290" s="1" t="s">
        <v>17</v>
      </c>
      <c r="C290">
        <v>-29</v>
      </c>
    </row>
    <row r="291" spans="1:3" x14ac:dyDescent="0.5">
      <c r="A291">
        <v>1897</v>
      </c>
      <c r="B291" s="1" t="s">
        <v>17</v>
      </c>
      <c r="C291">
        <v>-13</v>
      </c>
    </row>
    <row r="292" spans="1:3" x14ac:dyDescent="0.5">
      <c r="A292">
        <v>1898</v>
      </c>
      <c r="B292" s="1" t="s">
        <v>17</v>
      </c>
      <c r="C292">
        <v>-56</v>
      </c>
    </row>
    <row r="293" spans="1:3" x14ac:dyDescent="0.5">
      <c r="A293">
        <v>1899</v>
      </c>
      <c r="B293" s="1" t="s">
        <v>17</v>
      </c>
      <c r="C293">
        <v>-35</v>
      </c>
    </row>
    <row r="294" spans="1:3" x14ac:dyDescent="0.5">
      <c r="A294">
        <v>1900</v>
      </c>
      <c r="B294" s="1" t="s">
        <v>17</v>
      </c>
      <c r="C294">
        <v>2</v>
      </c>
    </row>
    <row r="295" spans="1:3" x14ac:dyDescent="0.5">
      <c r="A295">
        <v>1901</v>
      </c>
      <c r="B295" s="1" t="s">
        <v>17</v>
      </c>
      <c r="C295">
        <v>6</v>
      </c>
    </row>
    <row r="296" spans="1:3" x14ac:dyDescent="0.5">
      <c r="A296">
        <v>1902</v>
      </c>
      <c r="B296" s="1" t="s">
        <v>17</v>
      </c>
      <c r="C296">
        <v>-28</v>
      </c>
    </row>
    <row r="297" spans="1:3" x14ac:dyDescent="0.5">
      <c r="A297">
        <v>1903</v>
      </c>
      <c r="B297" s="1" t="s">
        <v>17</v>
      </c>
      <c r="C297">
        <v>-22</v>
      </c>
    </row>
    <row r="298" spans="1:3" x14ac:dyDescent="0.5">
      <c r="A298">
        <v>1904</v>
      </c>
      <c r="B298" s="1" t="s">
        <v>17</v>
      </c>
      <c r="C298">
        <v>-45</v>
      </c>
    </row>
    <row r="299" spans="1:3" x14ac:dyDescent="0.5">
      <c r="A299">
        <v>1905</v>
      </c>
      <c r="B299" s="1" t="s">
        <v>17</v>
      </c>
      <c r="C299">
        <v>-24</v>
      </c>
    </row>
    <row r="300" spans="1:3" x14ac:dyDescent="0.5">
      <c r="A300">
        <v>1906</v>
      </c>
      <c r="B300" s="1" t="s">
        <v>17</v>
      </c>
      <c r="C300">
        <v>-14</v>
      </c>
    </row>
    <row r="301" spans="1:3" x14ac:dyDescent="0.5">
      <c r="A301">
        <v>1907</v>
      </c>
      <c r="B301" s="1" t="s">
        <v>17</v>
      </c>
      <c r="C301">
        <v>-24</v>
      </c>
    </row>
    <row r="302" spans="1:3" x14ac:dyDescent="0.5">
      <c r="A302">
        <v>1908</v>
      </c>
      <c r="B302" s="1" t="s">
        <v>17</v>
      </c>
      <c r="C302">
        <v>-57</v>
      </c>
    </row>
    <row r="303" spans="1:3" x14ac:dyDescent="0.5">
      <c r="A303">
        <v>1909</v>
      </c>
      <c r="B303" s="1" t="s">
        <v>17</v>
      </c>
      <c r="C303">
        <v>-51</v>
      </c>
    </row>
    <row r="304" spans="1:3" x14ac:dyDescent="0.5">
      <c r="A304">
        <v>1910</v>
      </c>
      <c r="B304" s="1" t="s">
        <v>17</v>
      </c>
      <c r="C304">
        <v>-47</v>
      </c>
    </row>
    <row r="305" spans="1:3" x14ac:dyDescent="0.5">
      <c r="A305">
        <v>1911</v>
      </c>
      <c r="B305" s="1" t="s">
        <v>17</v>
      </c>
      <c r="C305">
        <v>-63</v>
      </c>
    </row>
    <row r="306" spans="1:3" x14ac:dyDescent="0.5">
      <c r="A306">
        <v>1912</v>
      </c>
      <c r="B306" s="1" t="s">
        <v>17</v>
      </c>
      <c r="C306">
        <v>-37</v>
      </c>
    </row>
    <row r="307" spans="1:3" x14ac:dyDescent="0.5">
      <c r="A307">
        <v>1913</v>
      </c>
      <c r="B307" s="1" t="s">
        <v>17</v>
      </c>
      <c r="C307">
        <v>-43</v>
      </c>
    </row>
    <row r="308" spans="1:3" x14ac:dyDescent="0.5">
      <c r="A308">
        <v>1914</v>
      </c>
      <c r="B308" s="1" t="s">
        <v>17</v>
      </c>
      <c r="C308">
        <v>-22</v>
      </c>
    </row>
    <row r="309" spans="1:3" x14ac:dyDescent="0.5">
      <c r="A309">
        <v>1915</v>
      </c>
      <c r="B309" s="1" t="s">
        <v>17</v>
      </c>
      <c r="C309">
        <v>-9</v>
      </c>
    </row>
    <row r="310" spans="1:3" x14ac:dyDescent="0.5">
      <c r="A310">
        <v>1916</v>
      </c>
      <c r="B310" s="1" t="s">
        <v>17</v>
      </c>
      <c r="C310">
        <v>-29</v>
      </c>
    </row>
    <row r="311" spans="1:3" x14ac:dyDescent="0.5">
      <c r="A311">
        <v>1917</v>
      </c>
      <c r="B311" s="1" t="s">
        <v>17</v>
      </c>
      <c r="C311">
        <v>-48</v>
      </c>
    </row>
    <row r="312" spans="1:3" x14ac:dyDescent="0.5">
      <c r="A312">
        <v>1918</v>
      </c>
      <c r="B312" s="1" t="s">
        <v>17</v>
      </c>
      <c r="C312">
        <v>-20</v>
      </c>
    </row>
    <row r="313" spans="1:3" x14ac:dyDescent="0.5">
      <c r="A313">
        <v>1919</v>
      </c>
      <c r="B313" s="1" t="s">
        <v>17</v>
      </c>
      <c r="C313">
        <v>-25</v>
      </c>
    </row>
    <row r="314" spans="1:3" x14ac:dyDescent="0.5">
      <c r="A314">
        <v>1920</v>
      </c>
      <c r="B314" s="1" t="s">
        <v>17</v>
      </c>
      <c r="C314">
        <v>-6</v>
      </c>
    </row>
    <row r="315" spans="1:3" x14ac:dyDescent="0.5">
      <c r="A315">
        <v>1921</v>
      </c>
      <c r="B315" s="1" t="s">
        <v>17</v>
      </c>
      <c r="C315">
        <v>-26</v>
      </c>
    </row>
    <row r="316" spans="1:3" x14ac:dyDescent="0.5">
      <c r="A316">
        <v>1922</v>
      </c>
      <c r="B316" s="1" t="s">
        <v>17</v>
      </c>
      <c r="C316">
        <v>-12</v>
      </c>
    </row>
    <row r="317" spans="1:3" x14ac:dyDescent="0.5">
      <c r="A317">
        <v>1923</v>
      </c>
      <c r="B317" s="1" t="s">
        <v>17</v>
      </c>
      <c r="C317">
        <v>-29</v>
      </c>
    </row>
    <row r="318" spans="1:3" x14ac:dyDescent="0.5">
      <c r="A318">
        <v>1924</v>
      </c>
      <c r="B318" s="1" t="s">
        <v>17</v>
      </c>
      <c r="C318">
        <v>-11</v>
      </c>
    </row>
    <row r="319" spans="1:3" x14ac:dyDescent="0.5">
      <c r="A319">
        <v>1925</v>
      </c>
      <c r="B319" s="1" t="s">
        <v>17</v>
      </c>
      <c r="C319">
        <v>-21</v>
      </c>
    </row>
    <row r="320" spans="1:3" x14ac:dyDescent="0.5">
      <c r="A320">
        <v>1926</v>
      </c>
      <c r="B320" s="1" t="s">
        <v>17</v>
      </c>
      <c r="C320">
        <v>13</v>
      </c>
    </row>
    <row r="321" spans="1:3" x14ac:dyDescent="0.5">
      <c r="A321">
        <v>1927</v>
      </c>
      <c r="B321" s="1" t="s">
        <v>17</v>
      </c>
      <c r="C321">
        <v>-37</v>
      </c>
    </row>
    <row r="322" spans="1:3" x14ac:dyDescent="0.5">
      <c r="A322">
        <v>1928</v>
      </c>
      <c r="B322" s="1" t="s">
        <v>17</v>
      </c>
      <c r="C322">
        <v>-27</v>
      </c>
    </row>
    <row r="323" spans="1:3" x14ac:dyDescent="0.5">
      <c r="A323">
        <v>1929</v>
      </c>
      <c r="B323" s="1" t="s">
        <v>17</v>
      </c>
      <c r="C323">
        <v>-34</v>
      </c>
    </row>
    <row r="324" spans="1:3" x14ac:dyDescent="0.5">
      <c r="A324">
        <v>1930</v>
      </c>
      <c r="B324" s="1" t="s">
        <v>17</v>
      </c>
      <c r="C324">
        <v>-9</v>
      </c>
    </row>
    <row r="325" spans="1:3" x14ac:dyDescent="0.5">
      <c r="A325">
        <v>1931</v>
      </c>
      <c r="B325" s="1" t="s">
        <v>17</v>
      </c>
      <c r="C325">
        <v>-6</v>
      </c>
    </row>
    <row r="326" spans="1:3" x14ac:dyDescent="0.5">
      <c r="A326">
        <v>1932</v>
      </c>
      <c r="B326" s="1" t="s">
        <v>17</v>
      </c>
      <c r="C326">
        <v>-19</v>
      </c>
    </row>
    <row r="327" spans="1:3" x14ac:dyDescent="0.5">
      <c r="A327">
        <v>1933</v>
      </c>
      <c r="B327" s="1" t="s">
        <v>17</v>
      </c>
      <c r="C327">
        <v>-27</v>
      </c>
    </row>
    <row r="328" spans="1:3" x14ac:dyDescent="0.5">
      <c r="A328">
        <v>1934</v>
      </c>
      <c r="B328" s="1" t="s">
        <v>17</v>
      </c>
      <c r="C328">
        <v>-28</v>
      </c>
    </row>
    <row r="329" spans="1:3" x14ac:dyDescent="0.5">
      <c r="A329">
        <v>1935</v>
      </c>
      <c r="B329" s="1" t="s">
        <v>17</v>
      </c>
      <c r="C329">
        <v>-13</v>
      </c>
    </row>
    <row r="330" spans="1:3" x14ac:dyDescent="0.5">
      <c r="A330">
        <v>1936</v>
      </c>
      <c r="B330" s="1" t="s">
        <v>17</v>
      </c>
      <c r="C330">
        <v>-24</v>
      </c>
    </row>
    <row r="331" spans="1:3" x14ac:dyDescent="0.5">
      <c r="A331">
        <v>1937</v>
      </c>
      <c r="B331" s="1" t="s">
        <v>17</v>
      </c>
      <c r="C331">
        <v>-16</v>
      </c>
    </row>
    <row r="332" spans="1:3" x14ac:dyDescent="0.5">
      <c r="A332">
        <v>1938</v>
      </c>
      <c r="B332" s="1" t="s">
        <v>17</v>
      </c>
      <c r="C332">
        <v>6</v>
      </c>
    </row>
    <row r="333" spans="1:3" x14ac:dyDescent="0.5">
      <c r="A333">
        <v>1939</v>
      </c>
      <c r="B333" s="1" t="s">
        <v>17</v>
      </c>
      <c r="C333">
        <v>-19</v>
      </c>
    </row>
    <row r="334" spans="1:3" x14ac:dyDescent="0.5">
      <c r="A334">
        <v>1940</v>
      </c>
      <c r="B334" s="1" t="s">
        <v>17</v>
      </c>
      <c r="C334">
        <v>12</v>
      </c>
    </row>
    <row r="335" spans="1:3" x14ac:dyDescent="0.5">
      <c r="A335">
        <v>1941</v>
      </c>
      <c r="B335" s="1" t="s">
        <v>17</v>
      </c>
      <c r="C335">
        <v>6</v>
      </c>
    </row>
    <row r="336" spans="1:3" x14ac:dyDescent="0.5">
      <c r="A336">
        <v>1942</v>
      </c>
      <c r="B336" s="1" t="s">
        <v>17</v>
      </c>
      <c r="C336">
        <v>12</v>
      </c>
    </row>
    <row r="337" spans="1:3" x14ac:dyDescent="0.5">
      <c r="A337">
        <v>1943</v>
      </c>
      <c r="B337" s="1" t="s">
        <v>17</v>
      </c>
      <c r="C337">
        <v>3</v>
      </c>
    </row>
    <row r="338" spans="1:3" x14ac:dyDescent="0.5">
      <c r="A338">
        <v>1944</v>
      </c>
      <c r="B338" s="1" t="s">
        <v>17</v>
      </c>
      <c r="C338">
        <v>35</v>
      </c>
    </row>
    <row r="339" spans="1:3" x14ac:dyDescent="0.5">
      <c r="A339">
        <v>1945</v>
      </c>
      <c r="B339" s="1" t="s">
        <v>17</v>
      </c>
      <c r="C339">
        <v>11</v>
      </c>
    </row>
    <row r="340" spans="1:3" x14ac:dyDescent="0.5">
      <c r="A340">
        <v>1946</v>
      </c>
      <c r="B340" s="1" t="s">
        <v>17</v>
      </c>
      <c r="C340">
        <v>0</v>
      </c>
    </row>
    <row r="341" spans="1:3" x14ac:dyDescent="0.5">
      <c r="A341">
        <v>1947</v>
      </c>
      <c r="B341" s="1" t="s">
        <v>17</v>
      </c>
      <c r="C341">
        <v>7</v>
      </c>
    </row>
    <row r="342" spans="1:3" x14ac:dyDescent="0.5">
      <c r="A342">
        <v>1948</v>
      </c>
      <c r="B342" s="1" t="s">
        <v>17</v>
      </c>
      <c r="C342">
        <v>-23</v>
      </c>
    </row>
    <row r="343" spans="1:3" x14ac:dyDescent="0.5">
      <c r="A343">
        <v>1949</v>
      </c>
      <c r="B343" s="1" t="s">
        <v>17</v>
      </c>
      <c r="C343">
        <v>-1</v>
      </c>
    </row>
    <row r="344" spans="1:3" x14ac:dyDescent="0.5">
      <c r="A344">
        <v>1950</v>
      </c>
      <c r="B344" s="1" t="s">
        <v>17</v>
      </c>
      <c r="C344">
        <v>-8</v>
      </c>
    </row>
    <row r="345" spans="1:3" x14ac:dyDescent="0.5">
      <c r="A345">
        <v>1951</v>
      </c>
      <c r="B345" s="1" t="s">
        <v>17</v>
      </c>
      <c r="C345">
        <v>-19</v>
      </c>
    </row>
    <row r="346" spans="1:3" x14ac:dyDescent="0.5">
      <c r="A346">
        <v>1952</v>
      </c>
      <c r="B346" s="1" t="s">
        <v>17</v>
      </c>
      <c r="C346">
        <v>-9</v>
      </c>
    </row>
    <row r="347" spans="1:3" x14ac:dyDescent="0.5">
      <c r="A347">
        <v>1953</v>
      </c>
      <c r="B347" s="1" t="s">
        <v>17</v>
      </c>
      <c r="C347">
        <v>11</v>
      </c>
    </row>
    <row r="348" spans="1:3" x14ac:dyDescent="0.5">
      <c r="A348">
        <v>1954</v>
      </c>
      <c r="B348" s="1" t="s">
        <v>17</v>
      </c>
      <c r="C348">
        <v>-12</v>
      </c>
    </row>
    <row r="349" spans="1:3" x14ac:dyDescent="0.5">
      <c r="A349">
        <v>1955</v>
      </c>
      <c r="B349" s="1" t="s">
        <v>17</v>
      </c>
      <c r="C349">
        <v>-35</v>
      </c>
    </row>
    <row r="350" spans="1:3" x14ac:dyDescent="0.5">
      <c r="A350">
        <v>1956</v>
      </c>
      <c r="B350" s="1" t="s">
        <v>17</v>
      </c>
      <c r="C350">
        <v>-22</v>
      </c>
    </row>
    <row r="351" spans="1:3" x14ac:dyDescent="0.5">
      <c r="A351">
        <v>1957</v>
      </c>
      <c r="B351" s="1" t="s">
        <v>17</v>
      </c>
      <c r="C351">
        <v>-6</v>
      </c>
    </row>
    <row r="352" spans="1:3" x14ac:dyDescent="0.5">
      <c r="A352">
        <v>1958</v>
      </c>
      <c r="B352" s="1" t="s">
        <v>17</v>
      </c>
      <c r="C352">
        <v>9</v>
      </c>
    </row>
    <row r="353" spans="1:3" x14ac:dyDescent="0.5">
      <c r="A353">
        <v>1959</v>
      </c>
      <c r="B353" s="1" t="s">
        <v>17</v>
      </c>
      <c r="C353">
        <v>20</v>
      </c>
    </row>
    <row r="354" spans="1:3" x14ac:dyDescent="0.5">
      <c r="A354">
        <v>1960</v>
      </c>
      <c r="B354" s="1" t="s">
        <v>17</v>
      </c>
      <c r="C354">
        <v>-36</v>
      </c>
    </row>
    <row r="355" spans="1:3" x14ac:dyDescent="0.5">
      <c r="A355">
        <v>1961</v>
      </c>
      <c r="B355" s="1" t="s">
        <v>17</v>
      </c>
      <c r="C355">
        <v>10</v>
      </c>
    </row>
    <row r="356" spans="1:3" x14ac:dyDescent="0.5">
      <c r="A356">
        <v>1962</v>
      </c>
      <c r="B356" s="1" t="s">
        <v>17</v>
      </c>
      <c r="C356">
        <v>11</v>
      </c>
    </row>
    <row r="357" spans="1:3" x14ac:dyDescent="0.5">
      <c r="A357">
        <v>1963</v>
      </c>
      <c r="B357" s="1" t="s">
        <v>17</v>
      </c>
      <c r="C357">
        <v>-15</v>
      </c>
    </row>
    <row r="358" spans="1:3" x14ac:dyDescent="0.5">
      <c r="A358">
        <v>1964</v>
      </c>
      <c r="B358" s="1" t="s">
        <v>17</v>
      </c>
      <c r="C358">
        <v>-24</v>
      </c>
    </row>
    <row r="359" spans="1:3" x14ac:dyDescent="0.5">
      <c r="A359">
        <v>1965</v>
      </c>
      <c r="B359" s="1" t="s">
        <v>17</v>
      </c>
      <c r="C359">
        <v>-12</v>
      </c>
    </row>
    <row r="360" spans="1:3" x14ac:dyDescent="0.5">
      <c r="A360">
        <v>1966</v>
      </c>
      <c r="B360" s="1" t="s">
        <v>17</v>
      </c>
      <c r="C360">
        <v>4</v>
      </c>
    </row>
    <row r="361" spans="1:3" x14ac:dyDescent="0.5">
      <c r="A361">
        <v>1967</v>
      </c>
      <c r="B361" s="1" t="s">
        <v>17</v>
      </c>
      <c r="C361">
        <v>4</v>
      </c>
    </row>
    <row r="362" spans="1:3" x14ac:dyDescent="0.5">
      <c r="A362">
        <v>1968</v>
      </c>
      <c r="B362" s="1" t="s">
        <v>17</v>
      </c>
      <c r="C362">
        <v>21</v>
      </c>
    </row>
    <row r="363" spans="1:3" x14ac:dyDescent="0.5">
      <c r="A363">
        <v>1969</v>
      </c>
      <c r="B363" s="1" t="s">
        <v>17</v>
      </c>
      <c r="C363">
        <v>1</v>
      </c>
    </row>
    <row r="364" spans="1:3" x14ac:dyDescent="0.5">
      <c r="A364">
        <v>1970</v>
      </c>
      <c r="B364" s="1" t="s">
        <v>17</v>
      </c>
      <c r="C364">
        <v>8</v>
      </c>
    </row>
    <row r="365" spans="1:3" x14ac:dyDescent="0.5">
      <c r="A365">
        <v>1971</v>
      </c>
      <c r="B365" s="1" t="s">
        <v>17</v>
      </c>
      <c r="C365">
        <v>-19</v>
      </c>
    </row>
    <row r="366" spans="1:3" x14ac:dyDescent="0.5">
      <c r="A366">
        <v>1972</v>
      </c>
      <c r="B366" s="1" t="s">
        <v>17</v>
      </c>
      <c r="C366">
        <v>3</v>
      </c>
    </row>
    <row r="367" spans="1:3" x14ac:dyDescent="0.5">
      <c r="A367">
        <v>1973</v>
      </c>
      <c r="B367" s="1" t="s">
        <v>17</v>
      </c>
      <c r="C367">
        <v>25</v>
      </c>
    </row>
    <row r="368" spans="1:3" x14ac:dyDescent="0.5">
      <c r="A368">
        <v>1974</v>
      </c>
      <c r="B368" s="1" t="s">
        <v>17</v>
      </c>
      <c r="C368">
        <v>-5</v>
      </c>
    </row>
    <row r="369" spans="1:3" x14ac:dyDescent="0.5">
      <c r="A369">
        <v>1975</v>
      </c>
      <c r="B369" s="1" t="s">
        <v>17</v>
      </c>
      <c r="C369">
        <v>14</v>
      </c>
    </row>
    <row r="370" spans="1:3" x14ac:dyDescent="0.5">
      <c r="A370">
        <v>1976</v>
      </c>
      <c r="B370" s="1" t="s">
        <v>17</v>
      </c>
      <c r="C370">
        <v>-21</v>
      </c>
    </row>
    <row r="371" spans="1:3" x14ac:dyDescent="0.5">
      <c r="A371">
        <v>1977</v>
      </c>
      <c r="B371" s="1" t="s">
        <v>17</v>
      </c>
      <c r="C371">
        <v>24</v>
      </c>
    </row>
    <row r="372" spans="1:3" x14ac:dyDescent="0.5">
      <c r="A372">
        <v>1978</v>
      </c>
      <c r="B372" s="1" t="s">
        <v>17</v>
      </c>
      <c r="C372">
        <v>21</v>
      </c>
    </row>
    <row r="373" spans="1:3" x14ac:dyDescent="0.5">
      <c r="A373">
        <v>1979</v>
      </c>
      <c r="B373" s="1" t="s">
        <v>17</v>
      </c>
      <c r="C373">
        <v>18</v>
      </c>
    </row>
    <row r="374" spans="1:3" x14ac:dyDescent="0.5">
      <c r="A374">
        <v>1980</v>
      </c>
      <c r="B374" s="1" t="s">
        <v>17</v>
      </c>
      <c r="C374">
        <v>29</v>
      </c>
    </row>
    <row r="375" spans="1:3" x14ac:dyDescent="0.5">
      <c r="A375">
        <v>1981</v>
      </c>
      <c r="B375" s="1" t="s">
        <v>17</v>
      </c>
      <c r="C375">
        <v>49</v>
      </c>
    </row>
    <row r="376" spans="1:3" x14ac:dyDescent="0.5">
      <c r="A376">
        <v>1982</v>
      </c>
      <c r="B376" s="1" t="s">
        <v>17</v>
      </c>
      <c r="C376">
        <v>-2</v>
      </c>
    </row>
    <row r="377" spans="1:3" x14ac:dyDescent="0.5">
      <c r="A377">
        <v>1983</v>
      </c>
      <c r="B377" s="1" t="s">
        <v>17</v>
      </c>
      <c r="C377">
        <v>42</v>
      </c>
    </row>
    <row r="378" spans="1:3" x14ac:dyDescent="0.5">
      <c r="A378">
        <v>1984</v>
      </c>
      <c r="B378" s="1" t="s">
        <v>17</v>
      </c>
      <c r="C378">
        <v>29</v>
      </c>
    </row>
    <row r="379" spans="1:3" x14ac:dyDescent="0.5">
      <c r="A379">
        <v>1985</v>
      </c>
      <c r="B379" s="1" t="s">
        <v>17</v>
      </c>
      <c r="C379">
        <v>17</v>
      </c>
    </row>
    <row r="380" spans="1:3" x14ac:dyDescent="0.5">
      <c r="A380">
        <v>1986</v>
      </c>
      <c r="B380" s="1" t="s">
        <v>17</v>
      </c>
      <c r="C380">
        <v>29</v>
      </c>
    </row>
    <row r="381" spans="1:3" x14ac:dyDescent="0.5">
      <c r="A381">
        <v>1987</v>
      </c>
      <c r="B381" s="1" t="s">
        <v>17</v>
      </c>
      <c r="C381">
        <v>17</v>
      </c>
    </row>
    <row r="382" spans="1:3" x14ac:dyDescent="0.5">
      <c r="A382">
        <v>1988</v>
      </c>
      <c r="B382" s="1" t="s">
        <v>17</v>
      </c>
      <c r="C382">
        <v>49</v>
      </c>
    </row>
    <row r="383" spans="1:3" x14ac:dyDescent="0.5">
      <c r="A383">
        <v>1989</v>
      </c>
      <c r="B383" s="1" t="s">
        <v>17</v>
      </c>
      <c r="C383">
        <v>36</v>
      </c>
    </row>
    <row r="384" spans="1:3" x14ac:dyDescent="0.5">
      <c r="A384">
        <v>1990</v>
      </c>
      <c r="B384" s="1" t="s">
        <v>17</v>
      </c>
      <c r="C384">
        <v>76</v>
      </c>
    </row>
    <row r="385" spans="1:3" x14ac:dyDescent="0.5">
      <c r="A385">
        <v>1991</v>
      </c>
      <c r="B385" s="1" t="s">
        <v>17</v>
      </c>
      <c r="C385">
        <v>35</v>
      </c>
    </row>
    <row r="386" spans="1:3" x14ac:dyDescent="0.5">
      <c r="A386">
        <v>1992</v>
      </c>
      <c r="B386" s="1" t="s">
        <v>17</v>
      </c>
      <c r="C386">
        <v>47</v>
      </c>
    </row>
    <row r="387" spans="1:3" x14ac:dyDescent="0.5">
      <c r="A387">
        <v>1993</v>
      </c>
      <c r="B387" s="1" t="s">
        <v>17</v>
      </c>
      <c r="C387">
        <v>36</v>
      </c>
    </row>
    <row r="388" spans="1:3" x14ac:dyDescent="0.5">
      <c r="A388">
        <v>1994</v>
      </c>
      <c r="B388" s="1" t="s">
        <v>17</v>
      </c>
      <c r="C388">
        <v>26</v>
      </c>
    </row>
    <row r="389" spans="1:3" x14ac:dyDescent="0.5">
      <c r="A389">
        <v>1995</v>
      </c>
      <c r="B389" s="1" t="s">
        <v>17</v>
      </c>
      <c r="C389">
        <v>45</v>
      </c>
    </row>
    <row r="390" spans="1:3" x14ac:dyDescent="0.5">
      <c r="A390">
        <v>1996</v>
      </c>
      <c r="B390" s="1" t="s">
        <v>17</v>
      </c>
      <c r="C390">
        <v>34</v>
      </c>
    </row>
    <row r="391" spans="1:3" x14ac:dyDescent="0.5">
      <c r="A391">
        <v>1997</v>
      </c>
      <c r="B391" s="1" t="s">
        <v>17</v>
      </c>
      <c r="C391">
        <v>51</v>
      </c>
    </row>
    <row r="392" spans="1:3" x14ac:dyDescent="0.5">
      <c r="A392">
        <v>1998</v>
      </c>
      <c r="B392" s="1" t="s">
        <v>17</v>
      </c>
      <c r="C392">
        <v>62</v>
      </c>
    </row>
    <row r="393" spans="1:3" x14ac:dyDescent="0.5">
      <c r="A393">
        <v>1999</v>
      </c>
      <c r="B393" s="1" t="s">
        <v>17</v>
      </c>
      <c r="C393">
        <v>33</v>
      </c>
    </row>
    <row r="394" spans="1:3" x14ac:dyDescent="0.5">
      <c r="A394">
        <v>2000</v>
      </c>
      <c r="B394" s="1" t="s">
        <v>17</v>
      </c>
      <c r="C394">
        <v>59</v>
      </c>
    </row>
    <row r="395" spans="1:3" x14ac:dyDescent="0.5">
      <c r="A395">
        <v>2001</v>
      </c>
      <c r="B395" s="1" t="s">
        <v>17</v>
      </c>
      <c r="C395">
        <v>58</v>
      </c>
    </row>
    <row r="396" spans="1:3" x14ac:dyDescent="0.5">
      <c r="A396">
        <v>2002</v>
      </c>
      <c r="B396" s="1" t="s">
        <v>17</v>
      </c>
      <c r="C396">
        <v>91</v>
      </c>
    </row>
    <row r="397" spans="1:3" x14ac:dyDescent="0.5">
      <c r="A397">
        <v>2003</v>
      </c>
      <c r="B397" s="1" t="s">
        <v>17</v>
      </c>
      <c r="C397">
        <v>57</v>
      </c>
    </row>
    <row r="398" spans="1:3" x14ac:dyDescent="0.5">
      <c r="A398">
        <v>2004</v>
      </c>
      <c r="B398" s="1" t="s">
        <v>17</v>
      </c>
      <c r="C398">
        <v>66</v>
      </c>
    </row>
    <row r="399" spans="1:3" x14ac:dyDescent="0.5">
      <c r="A399">
        <v>2005</v>
      </c>
      <c r="B399" s="1" t="s">
        <v>17</v>
      </c>
      <c r="C399">
        <v>69</v>
      </c>
    </row>
    <row r="400" spans="1:3" x14ac:dyDescent="0.5">
      <c r="A400">
        <v>2006</v>
      </c>
      <c r="B400" s="1" t="s">
        <v>17</v>
      </c>
      <c r="C400">
        <v>64</v>
      </c>
    </row>
    <row r="401" spans="1:3" x14ac:dyDescent="0.5">
      <c r="A401">
        <v>2007</v>
      </c>
      <c r="B401" s="1" t="s">
        <v>17</v>
      </c>
      <c r="C401">
        <v>70</v>
      </c>
    </row>
    <row r="402" spans="1:3" x14ac:dyDescent="0.5">
      <c r="A402">
        <v>2008</v>
      </c>
      <c r="B402" s="1" t="s">
        <v>17</v>
      </c>
      <c r="C402">
        <v>75</v>
      </c>
    </row>
    <row r="403" spans="1:3" x14ac:dyDescent="0.5">
      <c r="A403">
        <v>2009</v>
      </c>
      <c r="B403" s="1" t="s">
        <v>17</v>
      </c>
      <c r="C403">
        <v>53</v>
      </c>
    </row>
    <row r="404" spans="1:3" x14ac:dyDescent="0.5">
      <c r="A404">
        <v>2010</v>
      </c>
      <c r="B404" s="1" t="s">
        <v>17</v>
      </c>
      <c r="C404">
        <v>92</v>
      </c>
    </row>
    <row r="405" spans="1:3" x14ac:dyDescent="0.5">
      <c r="A405">
        <v>2011</v>
      </c>
      <c r="B405" s="1" t="s">
        <v>17</v>
      </c>
      <c r="C405">
        <v>64</v>
      </c>
    </row>
    <row r="406" spans="1:3" x14ac:dyDescent="0.5">
      <c r="A406">
        <v>2012</v>
      </c>
      <c r="B406" s="1" t="s">
        <v>17</v>
      </c>
      <c r="C406">
        <v>57</v>
      </c>
    </row>
    <row r="407" spans="1:3" x14ac:dyDescent="0.5">
      <c r="A407">
        <v>2013</v>
      </c>
      <c r="B407" s="1" t="s">
        <v>17</v>
      </c>
      <c r="C407">
        <v>65</v>
      </c>
    </row>
    <row r="408" spans="1:3" x14ac:dyDescent="0.5">
      <c r="A408">
        <v>2014</v>
      </c>
      <c r="B408" s="1" t="s">
        <v>17</v>
      </c>
      <c r="C408">
        <v>77</v>
      </c>
    </row>
    <row r="409" spans="1:3" x14ac:dyDescent="0.5">
      <c r="A409">
        <v>2015</v>
      </c>
      <c r="B409" s="1" t="s">
        <v>17</v>
      </c>
      <c r="C409">
        <v>90</v>
      </c>
    </row>
    <row r="410" spans="1:3" x14ac:dyDescent="0.5">
      <c r="A410">
        <v>1880</v>
      </c>
      <c r="B410" s="1" t="s">
        <v>18</v>
      </c>
      <c r="C410">
        <v>-27</v>
      </c>
    </row>
    <row r="411" spans="1:3" x14ac:dyDescent="0.5">
      <c r="A411">
        <v>1881</v>
      </c>
      <c r="B411" s="1" t="s">
        <v>18</v>
      </c>
      <c r="C411">
        <v>-2</v>
      </c>
    </row>
    <row r="412" spans="1:3" x14ac:dyDescent="0.5">
      <c r="A412">
        <v>1882</v>
      </c>
      <c r="B412" s="1" t="s">
        <v>18</v>
      </c>
      <c r="C412">
        <v>-19</v>
      </c>
    </row>
    <row r="413" spans="1:3" x14ac:dyDescent="0.5">
      <c r="A413">
        <v>1883</v>
      </c>
      <c r="B413" s="1" t="s">
        <v>18</v>
      </c>
      <c r="C413">
        <v>-23</v>
      </c>
    </row>
    <row r="414" spans="1:3" x14ac:dyDescent="0.5">
      <c r="A414">
        <v>1884</v>
      </c>
      <c r="B414" s="1" t="s">
        <v>18</v>
      </c>
      <c r="C414">
        <v>-35</v>
      </c>
    </row>
    <row r="415" spans="1:3" x14ac:dyDescent="0.5">
      <c r="A415">
        <v>1885</v>
      </c>
      <c r="B415" s="1" t="s">
        <v>18</v>
      </c>
      <c r="C415">
        <v>-44</v>
      </c>
    </row>
    <row r="416" spans="1:3" x14ac:dyDescent="0.5">
      <c r="A416">
        <v>1886</v>
      </c>
      <c r="B416" s="1" t="s">
        <v>18</v>
      </c>
      <c r="C416">
        <v>-28</v>
      </c>
    </row>
    <row r="417" spans="1:3" x14ac:dyDescent="0.5">
      <c r="A417">
        <v>1887</v>
      </c>
      <c r="B417" s="1" t="s">
        <v>18</v>
      </c>
      <c r="C417">
        <v>-37</v>
      </c>
    </row>
    <row r="418" spans="1:3" x14ac:dyDescent="0.5">
      <c r="A418">
        <v>1888</v>
      </c>
      <c r="B418" s="1" t="s">
        <v>18</v>
      </c>
      <c r="C418">
        <v>-28</v>
      </c>
    </row>
    <row r="419" spans="1:3" x14ac:dyDescent="0.5">
      <c r="A419">
        <v>1889</v>
      </c>
      <c r="B419" s="1" t="s">
        <v>18</v>
      </c>
      <c r="C419">
        <v>5</v>
      </c>
    </row>
    <row r="420" spans="1:3" x14ac:dyDescent="0.5">
      <c r="A420">
        <v>1890</v>
      </c>
      <c r="B420" s="1" t="s">
        <v>18</v>
      </c>
      <c r="C420">
        <v>-38</v>
      </c>
    </row>
    <row r="421" spans="1:3" x14ac:dyDescent="0.5">
      <c r="A421">
        <v>1891</v>
      </c>
      <c r="B421" s="1" t="s">
        <v>18</v>
      </c>
      <c r="C421">
        <v>-25</v>
      </c>
    </row>
    <row r="422" spans="1:3" x14ac:dyDescent="0.5">
      <c r="A422">
        <v>1892</v>
      </c>
      <c r="B422" s="1" t="s">
        <v>18</v>
      </c>
      <c r="C422">
        <v>-34</v>
      </c>
    </row>
    <row r="423" spans="1:3" x14ac:dyDescent="0.5">
      <c r="A423">
        <v>1893</v>
      </c>
      <c r="B423" s="1" t="s">
        <v>18</v>
      </c>
      <c r="C423">
        <v>-32</v>
      </c>
    </row>
    <row r="424" spans="1:3" x14ac:dyDescent="0.5">
      <c r="A424">
        <v>1894</v>
      </c>
      <c r="B424" s="1" t="s">
        <v>18</v>
      </c>
      <c r="C424">
        <v>-40</v>
      </c>
    </row>
    <row r="425" spans="1:3" x14ac:dyDescent="0.5">
      <c r="A425">
        <v>1895</v>
      </c>
      <c r="B425" s="1" t="s">
        <v>18</v>
      </c>
      <c r="C425">
        <v>-22</v>
      </c>
    </row>
    <row r="426" spans="1:3" x14ac:dyDescent="0.5">
      <c r="A426">
        <v>1896</v>
      </c>
      <c r="B426" s="1" t="s">
        <v>18</v>
      </c>
      <c r="C426">
        <v>-32</v>
      </c>
    </row>
    <row r="427" spans="1:3" x14ac:dyDescent="0.5">
      <c r="A427">
        <v>1897</v>
      </c>
      <c r="B427" s="1" t="s">
        <v>18</v>
      </c>
      <c r="C427">
        <v>-1</v>
      </c>
    </row>
    <row r="428" spans="1:3" x14ac:dyDescent="0.5">
      <c r="A428">
        <v>1898</v>
      </c>
      <c r="B428" s="1" t="s">
        <v>18</v>
      </c>
      <c r="C428">
        <v>-34</v>
      </c>
    </row>
    <row r="429" spans="1:3" x14ac:dyDescent="0.5">
      <c r="A429">
        <v>1899</v>
      </c>
      <c r="B429" s="1" t="s">
        <v>18</v>
      </c>
      <c r="C429">
        <v>-21</v>
      </c>
    </row>
    <row r="430" spans="1:3" x14ac:dyDescent="0.5">
      <c r="A430">
        <v>1900</v>
      </c>
      <c r="B430" s="1" t="s">
        <v>18</v>
      </c>
      <c r="C430">
        <v>-14</v>
      </c>
    </row>
    <row r="431" spans="1:3" x14ac:dyDescent="0.5">
      <c r="A431">
        <v>1901</v>
      </c>
      <c r="B431" s="1" t="s">
        <v>18</v>
      </c>
      <c r="C431">
        <v>-5</v>
      </c>
    </row>
    <row r="432" spans="1:3" x14ac:dyDescent="0.5">
      <c r="A432">
        <v>1902</v>
      </c>
      <c r="B432" s="1" t="s">
        <v>18</v>
      </c>
      <c r="C432">
        <v>-26</v>
      </c>
    </row>
    <row r="433" spans="1:3" x14ac:dyDescent="0.5">
      <c r="A433">
        <v>1903</v>
      </c>
      <c r="B433" s="1" t="s">
        <v>18</v>
      </c>
      <c r="C433">
        <v>-39</v>
      </c>
    </row>
    <row r="434" spans="1:3" x14ac:dyDescent="0.5">
      <c r="A434">
        <v>1904</v>
      </c>
      <c r="B434" s="1" t="s">
        <v>18</v>
      </c>
      <c r="C434">
        <v>-50</v>
      </c>
    </row>
    <row r="435" spans="1:3" x14ac:dyDescent="0.5">
      <c r="A435">
        <v>1905</v>
      </c>
      <c r="B435" s="1" t="s">
        <v>18</v>
      </c>
      <c r="C435">
        <v>-36</v>
      </c>
    </row>
    <row r="436" spans="1:3" x14ac:dyDescent="0.5">
      <c r="A436">
        <v>1906</v>
      </c>
      <c r="B436" s="1" t="s">
        <v>18</v>
      </c>
      <c r="C436">
        <v>-2</v>
      </c>
    </row>
    <row r="437" spans="1:3" x14ac:dyDescent="0.5">
      <c r="A437">
        <v>1907</v>
      </c>
      <c r="B437" s="1" t="s">
        <v>18</v>
      </c>
      <c r="C437">
        <v>-40</v>
      </c>
    </row>
    <row r="438" spans="1:3" x14ac:dyDescent="0.5">
      <c r="A438">
        <v>1908</v>
      </c>
      <c r="B438" s="1" t="s">
        <v>18</v>
      </c>
      <c r="C438">
        <v>-45</v>
      </c>
    </row>
    <row r="439" spans="1:3" x14ac:dyDescent="0.5">
      <c r="A439">
        <v>1909</v>
      </c>
      <c r="B439" s="1" t="s">
        <v>18</v>
      </c>
      <c r="C439">
        <v>-59</v>
      </c>
    </row>
    <row r="440" spans="1:3" x14ac:dyDescent="0.5">
      <c r="A440">
        <v>1910</v>
      </c>
      <c r="B440" s="1" t="s">
        <v>18</v>
      </c>
      <c r="C440">
        <v>-38</v>
      </c>
    </row>
    <row r="441" spans="1:3" x14ac:dyDescent="0.5">
      <c r="A441">
        <v>1911</v>
      </c>
      <c r="B441" s="1" t="s">
        <v>18</v>
      </c>
      <c r="C441">
        <v>-55</v>
      </c>
    </row>
    <row r="442" spans="1:3" x14ac:dyDescent="0.5">
      <c r="A442">
        <v>1912</v>
      </c>
      <c r="B442" s="1" t="s">
        <v>18</v>
      </c>
      <c r="C442">
        <v>-21</v>
      </c>
    </row>
    <row r="443" spans="1:3" x14ac:dyDescent="0.5">
      <c r="A443">
        <v>1913</v>
      </c>
      <c r="B443" s="1" t="s">
        <v>18</v>
      </c>
      <c r="C443">
        <v>-36</v>
      </c>
    </row>
    <row r="444" spans="1:3" x14ac:dyDescent="0.5">
      <c r="A444">
        <v>1914</v>
      </c>
      <c r="B444" s="1" t="s">
        <v>18</v>
      </c>
      <c r="C444">
        <v>-27</v>
      </c>
    </row>
    <row r="445" spans="1:3" x14ac:dyDescent="0.5">
      <c r="A445">
        <v>1915</v>
      </c>
      <c r="B445" s="1" t="s">
        <v>18</v>
      </c>
      <c r="C445">
        <v>8</v>
      </c>
    </row>
    <row r="446" spans="1:3" x14ac:dyDescent="0.5">
      <c r="A446">
        <v>1916</v>
      </c>
      <c r="B446" s="1" t="s">
        <v>18</v>
      </c>
      <c r="C446">
        <v>-24</v>
      </c>
    </row>
    <row r="447" spans="1:3" x14ac:dyDescent="0.5">
      <c r="A447">
        <v>1917</v>
      </c>
      <c r="B447" s="1" t="s">
        <v>18</v>
      </c>
      <c r="C447">
        <v>-38</v>
      </c>
    </row>
    <row r="448" spans="1:3" x14ac:dyDescent="0.5">
      <c r="A448">
        <v>1918</v>
      </c>
      <c r="B448" s="1" t="s">
        <v>18</v>
      </c>
      <c r="C448">
        <v>-38</v>
      </c>
    </row>
    <row r="449" spans="1:3" x14ac:dyDescent="0.5">
      <c r="A449">
        <v>1919</v>
      </c>
      <c r="B449" s="1" t="s">
        <v>18</v>
      </c>
      <c r="C449">
        <v>-18</v>
      </c>
    </row>
    <row r="450" spans="1:3" x14ac:dyDescent="0.5">
      <c r="A450">
        <v>1920</v>
      </c>
      <c r="B450" s="1" t="s">
        <v>18</v>
      </c>
      <c r="C450">
        <v>-25</v>
      </c>
    </row>
    <row r="451" spans="1:3" x14ac:dyDescent="0.5">
      <c r="A451">
        <v>1921</v>
      </c>
      <c r="B451" s="1" t="s">
        <v>18</v>
      </c>
      <c r="C451">
        <v>-34</v>
      </c>
    </row>
    <row r="452" spans="1:3" x14ac:dyDescent="0.5">
      <c r="A452">
        <v>1922</v>
      </c>
      <c r="B452" s="1" t="s">
        <v>18</v>
      </c>
      <c r="C452">
        <v>-20</v>
      </c>
    </row>
    <row r="453" spans="1:3" x14ac:dyDescent="0.5">
      <c r="A453">
        <v>1923</v>
      </c>
      <c r="B453" s="1" t="s">
        <v>18</v>
      </c>
      <c r="C453">
        <v>-37</v>
      </c>
    </row>
    <row r="454" spans="1:3" x14ac:dyDescent="0.5">
      <c r="A454">
        <v>1924</v>
      </c>
      <c r="B454" s="1" t="s">
        <v>18</v>
      </c>
      <c r="C454">
        <v>-33</v>
      </c>
    </row>
    <row r="455" spans="1:3" x14ac:dyDescent="0.5">
      <c r="A455">
        <v>1925</v>
      </c>
      <c r="B455" s="1" t="s">
        <v>18</v>
      </c>
      <c r="C455">
        <v>-24</v>
      </c>
    </row>
    <row r="456" spans="1:3" x14ac:dyDescent="0.5">
      <c r="A456">
        <v>1926</v>
      </c>
      <c r="B456" s="1" t="s">
        <v>18</v>
      </c>
      <c r="C456">
        <v>-13</v>
      </c>
    </row>
    <row r="457" spans="1:3" x14ac:dyDescent="0.5">
      <c r="A457">
        <v>1927</v>
      </c>
      <c r="B457" s="1" t="s">
        <v>18</v>
      </c>
      <c r="C457">
        <v>-31</v>
      </c>
    </row>
    <row r="458" spans="1:3" x14ac:dyDescent="0.5">
      <c r="A458">
        <v>1928</v>
      </c>
      <c r="B458" s="1" t="s">
        <v>18</v>
      </c>
      <c r="C458">
        <v>-28</v>
      </c>
    </row>
    <row r="459" spans="1:3" x14ac:dyDescent="0.5">
      <c r="A459">
        <v>1929</v>
      </c>
      <c r="B459" s="1" t="s">
        <v>18</v>
      </c>
      <c r="C459">
        <v>-41</v>
      </c>
    </row>
    <row r="460" spans="1:3" x14ac:dyDescent="0.5">
      <c r="A460">
        <v>1930</v>
      </c>
      <c r="B460" s="1" t="s">
        <v>18</v>
      </c>
      <c r="C460">
        <v>-24</v>
      </c>
    </row>
    <row r="461" spans="1:3" x14ac:dyDescent="0.5">
      <c r="A461">
        <v>1931</v>
      </c>
      <c r="B461" s="1" t="s">
        <v>18</v>
      </c>
      <c r="C461">
        <v>-20</v>
      </c>
    </row>
    <row r="462" spans="1:3" x14ac:dyDescent="0.5">
      <c r="A462">
        <v>1932</v>
      </c>
      <c r="B462" s="1" t="s">
        <v>18</v>
      </c>
      <c r="C462">
        <v>-8</v>
      </c>
    </row>
    <row r="463" spans="1:3" x14ac:dyDescent="0.5">
      <c r="A463">
        <v>1933</v>
      </c>
      <c r="B463" s="1" t="s">
        <v>18</v>
      </c>
      <c r="C463">
        <v>-23</v>
      </c>
    </row>
    <row r="464" spans="1:3" x14ac:dyDescent="0.5">
      <c r="A464">
        <v>1934</v>
      </c>
      <c r="B464" s="1" t="s">
        <v>18</v>
      </c>
      <c r="C464">
        <v>-26</v>
      </c>
    </row>
    <row r="465" spans="1:3" x14ac:dyDescent="0.5">
      <c r="A465">
        <v>1935</v>
      </c>
      <c r="B465" s="1" t="s">
        <v>18</v>
      </c>
      <c r="C465">
        <v>-34</v>
      </c>
    </row>
    <row r="466" spans="1:3" x14ac:dyDescent="0.5">
      <c r="A466">
        <v>1936</v>
      </c>
      <c r="B466" s="1" t="s">
        <v>18</v>
      </c>
      <c r="C466">
        <v>-19</v>
      </c>
    </row>
    <row r="467" spans="1:3" x14ac:dyDescent="0.5">
      <c r="A467">
        <v>1937</v>
      </c>
      <c r="B467" s="1" t="s">
        <v>18</v>
      </c>
      <c r="C467">
        <v>-16</v>
      </c>
    </row>
    <row r="468" spans="1:3" x14ac:dyDescent="0.5">
      <c r="A468">
        <v>1938</v>
      </c>
      <c r="B468" s="1" t="s">
        <v>18</v>
      </c>
      <c r="C468">
        <v>5</v>
      </c>
    </row>
    <row r="469" spans="1:3" x14ac:dyDescent="0.5">
      <c r="A469">
        <v>1939</v>
      </c>
      <c r="B469" s="1" t="s">
        <v>18</v>
      </c>
      <c r="C469">
        <v>-12</v>
      </c>
    </row>
    <row r="470" spans="1:3" x14ac:dyDescent="0.5">
      <c r="A470">
        <v>1940</v>
      </c>
      <c r="B470" s="1" t="s">
        <v>18</v>
      </c>
      <c r="C470">
        <v>16</v>
      </c>
    </row>
    <row r="471" spans="1:3" x14ac:dyDescent="0.5">
      <c r="A471">
        <v>1941</v>
      </c>
      <c r="B471" s="1" t="s">
        <v>18</v>
      </c>
      <c r="C471">
        <v>11</v>
      </c>
    </row>
    <row r="472" spans="1:3" x14ac:dyDescent="0.5">
      <c r="A472">
        <v>1942</v>
      </c>
      <c r="B472" s="1" t="s">
        <v>18</v>
      </c>
      <c r="C472">
        <v>14</v>
      </c>
    </row>
    <row r="473" spans="1:3" x14ac:dyDescent="0.5">
      <c r="A473">
        <v>1943</v>
      </c>
      <c r="B473" s="1" t="s">
        <v>18</v>
      </c>
      <c r="C473">
        <v>15</v>
      </c>
    </row>
    <row r="474" spans="1:3" x14ac:dyDescent="0.5">
      <c r="A474">
        <v>1944</v>
      </c>
      <c r="B474" s="1" t="s">
        <v>18</v>
      </c>
      <c r="C474">
        <v>27</v>
      </c>
    </row>
    <row r="475" spans="1:3" x14ac:dyDescent="0.5">
      <c r="A475">
        <v>1945</v>
      </c>
      <c r="B475" s="1" t="s">
        <v>18</v>
      </c>
      <c r="C475">
        <v>25</v>
      </c>
    </row>
    <row r="476" spans="1:3" x14ac:dyDescent="0.5">
      <c r="A476">
        <v>1946</v>
      </c>
      <c r="B476" s="1" t="s">
        <v>18</v>
      </c>
      <c r="C476">
        <v>12</v>
      </c>
    </row>
    <row r="477" spans="1:3" x14ac:dyDescent="0.5">
      <c r="A477">
        <v>1947</v>
      </c>
      <c r="B477" s="1" t="s">
        <v>18</v>
      </c>
      <c r="C477">
        <v>5</v>
      </c>
    </row>
    <row r="478" spans="1:3" x14ac:dyDescent="0.5">
      <c r="A478">
        <v>1948</v>
      </c>
      <c r="B478" s="1" t="s">
        <v>18</v>
      </c>
      <c r="C478">
        <v>-9</v>
      </c>
    </row>
    <row r="479" spans="1:3" x14ac:dyDescent="0.5">
      <c r="A479">
        <v>1949</v>
      </c>
      <c r="B479" s="1" t="s">
        <v>18</v>
      </c>
      <c r="C479">
        <v>-7</v>
      </c>
    </row>
    <row r="480" spans="1:3" x14ac:dyDescent="0.5">
      <c r="A480">
        <v>1950</v>
      </c>
      <c r="B480" s="1" t="s">
        <v>18</v>
      </c>
      <c r="C480">
        <v>-21</v>
      </c>
    </row>
    <row r="481" spans="1:3" x14ac:dyDescent="0.5">
      <c r="A481">
        <v>1951</v>
      </c>
      <c r="B481" s="1" t="s">
        <v>18</v>
      </c>
      <c r="C481">
        <v>-11</v>
      </c>
    </row>
    <row r="482" spans="1:3" x14ac:dyDescent="0.5">
      <c r="A482">
        <v>1952</v>
      </c>
      <c r="B482" s="1" t="s">
        <v>18</v>
      </c>
      <c r="C482">
        <v>2</v>
      </c>
    </row>
    <row r="483" spans="1:3" x14ac:dyDescent="0.5">
      <c r="A483">
        <v>1953</v>
      </c>
      <c r="B483" s="1" t="s">
        <v>18</v>
      </c>
      <c r="C483">
        <v>20</v>
      </c>
    </row>
    <row r="484" spans="1:3" x14ac:dyDescent="0.5">
      <c r="A484">
        <v>1954</v>
      </c>
      <c r="B484" s="1" t="s">
        <v>18</v>
      </c>
      <c r="C484">
        <v>-18</v>
      </c>
    </row>
    <row r="485" spans="1:3" x14ac:dyDescent="0.5">
      <c r="A485">
        <v>1955</v>
      </c>
      <c r="B485" s="1" t="s">
        <v>18</v>
      </c>
      <c r="C485">
        <v>-22</v>
      </c>
    </row>
    <row r="486" spans="1:3" x14ac:dyDescent="0.5">
      <c r="A486">
        <v>1956</v>
      </c>
      <c r="B486" s="1" t="s">
        <v>18</v>
      </c>
      <c r="C486">
        <v>-27</v>
      </c>
    </row>
    <row r="487" spans="1:3" x14ac:dyDescent="0.5">
      <c r="A487">
        <v>1957</v>
      </c>
      <c r="B487" s="1" t="s">
        <v>18</v>
      </c>
      <c r="C487">
        <v>-2</v>
      </c>
    </row>
    <row r="488" spans="1:3" x14ac:dyDescent="0.5">
      <c r="A488">
        <v>1958</v>
      </c>
      <c r="B488" s="1" t="s">
        <v>18</v>
      </c>
      <c r="C488">
        <v>2</v>
      </c>
    </row>
    <row r="489" spans="1:3" x14ac:dyDescent="0.5">
      <c r="A489">
        <v>1959</v>
      </c>
      <c r="B489" s="1" t="s">
        <v>18</v>
      </c>
      <c r="C489">
        <v>17</v>
      </c>
    </row>
    <row r="490" spans="1:3" x14ac:dyDescent="0.5">
      <c r="A490">
        <v>1960</v>
      </c>
      <c r="B490" s="1" t="s">
        <v>18</v>
      </c>
      <c r="C490">
        <v>-17</v>
      </c>
    </row>
    <row r="491" spans="1:3" x14ac:dyDescent="0.5">
      <c r="A491">
        <v>1961</v>
      </c>
      <c r="B491" s="1" t="s">
        <v>18</v>
      </c>
      <c r="C491">
        <v>15</v>
      </c>
    </row>
    <row r="492" spans="1:3" x14ac:dyDescent="0.5">
      <c r="A492">
        <v>1962</v>
      </c>
      <c r="B492" s="1" t="s">
        <v>18</v>
      </c>
      <c r="C492">
        <v>5</v>
      </c>
    </row>
    <row r="493" spans="1:3" x14ac:dyDescent="0.5">
      <c r="A493">
        <v>1963</v>
      </c>
      <c r="B493" s="1" t="s">
        <v>18</v>
      </c>
      <c r="C493">
        <v>-5</v>
      </c>
    </row>
    <row r="494" spans="1:3" x14ac:dyDescent="0.5">
      <c r="A494">
        <v>1964</v>
      </c>
      <c r="B494" s="1" t="s">
        <v>18</v>
      </c>
      <c r="C494">
        <v>-30</v>
      </c>
    </row>
    <row r="495" spans="1:3" x14ac:dyDescent="0.5">
      <c r="A495">
        <v>1965</v>
      </c>
      <c r="B495" s="1" t="s">
        <v>18</v>
      </c>
      <c r="C495">
        <v>-20</v>
      </c>
    </row>
    <row r="496" spans="1:3" x14ac:dyDescent="0.5">
      <c r="A496">
        <v>1966</v>
      </c>
      <c r="B496" s="1" t="s">
        <v>18</v>
      </c>
      <c r="C496">
        <v>-14</v>
      </c>
    </row>
    <row r="497" spans="1:3" x14ac:dyDescent="0.5">
      <c r="A497">
        <v>1967</v>
      </c>
      <c r="B497" s="1" t="s">
        <v>18</v>
      </c>
      <c r="C497">
        <v>-6</v>
      </c>
    </row>
    <row r="498" spans="1:3" x14ac:dyDescent="0.5">
      <c r="A498">
        <v>1968</v>
      </c>
      <c r="B498" s="1" t="s">
        <v>18</v>
      </c>
      <c r="C498">
        <v>-5</v>
      </c>
    </row>
    <row r="499" spans="1:3" x14ac:dyDescent="0.5">
      <c r="A499">
        <v>1969</v>
      </c>
      <c r="B499" s="1" t="s">
        <v>18</v>
      </c>
      <c r="C499">
        <v>18</v>
      </c>
    </row>
    <row r="500" spans="1:3" x14ac:dyDescent="0.5">
      <c r="A500">
        <v>1970</v>
      </c>
      <c r="B500" s="1" t="s">
        <v>18</v>
      </c>
      <c r="C500">
        <v>9</v>
      </c>
    </row>
    <row r="501" spans="1:3" x14ac:dyDescent="0.5">
      <c r="A501">
        <v>1971</v>
      </c>
      <c r="B501" s="1" t="s">
        <v>18</v>
      </c>
      <c r="C501">
        <v>-11</v>
      </c>
    </row>
    <row r="502" spans="1:3" x14ac:dyDescent="0.5">
      <c r="A502">
        <v>1972</v>
      </c>
      <c r="B502" s="1" t="s">
        <v>18</v>
      </c>
      <c r="C502">
        <v>-1</v>
      </c>
    </row>
    <row r="503" spans="1:3" x14ac:dyDescent="0.5">
      <c r="A503">
        <v>1973</v>
      </c>
      <c r="B503" s="1" t="s">
        <v>18</v>
      </c>
      <c r="C503">
        <v>26</v>
      </c>
    </row>
    <row r="504" spans="1:3" x14ac:dyDescent="0.5">
      <c r="A504">
        <v>1974</v>
      </c>
      <c r="B504" s="1" t="s">
        <v>18</v>
      </c>
      <c r="C504">
        <v>-10</v>
      </c>
    </row>
    <row r="505" spans="1:3" x14ac:dyDescent="0.5">
      <c r="A505">
        <v>1975</v>
      </c>
      <c r="B505" s="1" t="s">
        <v>18</v>
      </c>
      <c r="C505">
        <v>6</v>
      </c>
    </row>
    <row r="506" spans="1:3" x14ac:dyDescent="0.5">
      <c r="A506">
        <v>1976</v>
      </c>
      <c r="B506" s="1" t="s">
        <v>18</v>
      </c>
      <c r="C506">
        <v>-9</v>
      </c>
    </row>
    <row r="507" spans="1:3" x14ac:dyDescent="0.5">
      <c r="A507">
        <v>1977</v>
      </c>
      <c r="B507" s="1" t="s">
        <v>18</v>
      </c>
      <c r="C507">
        <v>26</v>
      </c>
    </row>
    <row r="508" spans="1:3" x14ac:dyDescent="0.5">
      <c r="A508">
        <v>1978</v>
      </c>
      <c r="B508" s="1" t="s">
        <v>18</v>
      </c>
      <c r="C508">
        <v>14</v>
      </c>
    </row>
    <row r="509" spans="1:3" x14ac:dyDescent="0.5">
      <c r="A509">
        <v>1979</v>
      </c>
      <c r="B509" s="1" t="s">
        <v>18</v>
      </c>
      <c r="C509">
        <v>12</v>
      </c>
    </row>
    <row r="510" spans="1:3" x14ac:dyDescent="0.5">
      <c r="A510">
        <v>1980</v>
      </c>
      <c r="B510" s="1" t="s">
        <v>18</v>
      </c>
      <c r="C510">
        <v>33</v>
      </c>
    </row>
    <row r="511" spans="1:3" x14ac:dyDescent="0.5">
      <c r="A511">
        <v>1981</v>
      </c>
      <c r="B511" s="1" t="s">
        <v>18</v>
      </c>
      <c r="C511">
        <v>32</v>
      </c>
    </row>
    <row r="512" spans="1:3" x14ac:dyDescent="0.5">
      <c r="A512">
        <v>1982</v>
      </c>
      <c r="B512" s="1" t="s">
        <v>18</v>
      </c>
      <c r="C512">
        <v>9</v>
      </c>
    </row>
    <row r="513" spans="1:3" x14ac:dyDescent="0.5">
      <c r="A513">
        <v>1983</v>
      </c>
      <c r="B513" s="1" t="s">
        <v>18</v>
      </c>
      <c r="C513">
        <v>30</v>
      </c>
    </row>
    <row r="514" spans="1:3" x14ac:dyDescent="0.5">
      <c r="A514">
        <v>1984</v>
      </c>
      <c r="B514" s="1" t="s">
        <v>18</v>
      </c>
      <c r="C514">
        <v>10</v>
      </c>
    </row>
    <row r="515" spans="1:3" x14ac:dyDescent="0.5">
      <c r="A515">
        <v>1985</v>
      </c>
      <c r="B515" s="1" t="s">
        <v>18</v>
      </c>
      <c r="C515">
        <v>10</v>
      </c>
    </row>
    <row r="516" spans="1:3" x14ac:dyDescent="0.5">
      <c r="A516">
        <v>1986</v>
      </c>
      <c r="B516" s="1" t="s">
        <v>18</v>
      </c>
      <c r="C516">
        <v>26</v>
      </c>
    </row>
    <row r="517" spans="1:3" x14ac:dyDescent="0.5">
      <c r="A517">
        <v>1987</v>
      </c>
      <c r="B517" s="1" t="s">
        <v>18</v>
      </c>
      <c r="C517">
        <v>26</v>
      </c>
    </row>
    <row r="518" spans="1:3" x14ac:dyDescent="0.5">
      <c r="A518">
        <v>1988</v>
      </c>
      <c r="B518" s="1" t="s">
        <v>18</v>
      </c>
      <c r="C518">
        <v>44</v>
      </c>
    </row>
    <row r="519" spans="1:3" x14ac:dyDescent="0.5">
      <c r="A519">
        <v>1989</v>
      </c>
      <c r="B519" s="1" t="s">
        <v>18</v>
      </c>
      <c r="C519">
        <v>33</v>
      </c>
    </row>
    <row r="520" spans="1:3" x14ac:dyDescent="0.5">
      <c r="A520">
        <v>1990</v>
      </c>
      <c r="B520" s="1" t="s">
        <v>18</v>
      </c>
      <c r="C520">
        <v>54</v>
      </c>
    </row>
    <row r="521" spans="1:3" x14ac:dyDescent="0.5">
      <c r="A521">
        <v>1991</v>
      </c>
      <c r="B521" s="1" t="s">
        <v>18</v>
      </c>
      <c r="C521">
        <v>51</v>
      </c>
    </row>
    <row r="522" spans="1:3" x14ac:dyDescent="0.5">
      <c r="A522">
        <v>1992</v>
      </c>
      <c r="B522" s="1" t="s">
        <v>18</v>
      </c>
      <c r="C522">
        <v>23</v>
      </c>
    </row>
    <row r="523" spans="1:3" x14ac:dyDescent="0.5">
      <c r="A523">
        <v>1993</v>
      </c>
      <c r="B523" s="1" t="s">
        <v>18</v>
      </c>
      <c r="C523">
        <v>27</v>
      </c>
    </row>
    <row r="524" spans="1:3" x14ac:dyDescent="0.5">
      <c r="A524">
        <v>1994</v>
      </c>
      <c r="B524" s="1" t="s">
        <v>18</v>
      </c>
      <c r="C524">
        <v>40</v>
      </c>
    </row>
    <row r="525" spans="1:3" x14ac:dyDescent="0.5">
      <c r="A525">
        <v>1995</v>
      </c>
      <c r="B525" s="1" t="s">
        <v>18</v>
      </c>
      <c r="C525">
        <v>47</v>
      </c>
    </row>
    <row r="526" spans="1:3" x14ac:dyDescent="0.5">
      <c r="A526">
        <v>1996</v>
      </c>
      <c r="B526" s="1" t="s">
        <v>18</v>
      </c>
      <c r="C526">
        <v>36</v>
      </c>
    </row>
    <row r="527" spans="1:3" x14ac:dyDescent="0.5">
      <c r="A527">
        <v>1997</v>
      </c>
      <c r="B527" s="1" t="s">
        <v>18</v>
      </c>
      <c r="C527">
        <v>37</v>
      </c>
    </row>
    <row r="528" spans="1:3" x14ac:dyDescent="0.5">
      <c r="A528">
        <v>1998</v>
      </c>
      <c r="B528" s="1" t="s">
        <v>18</v>
      </c>
      <c r="C528">
        <v>64</v>
      </c>
    </row>
    <row r="529" spans="1:3" x14ac:dyDescent="0.5">
      <c r="A529">
        <v>1999</v>
      </c>
      <c r="B529" s="1" t="s">
        <v>18</v>
      </c>
      <c r="C529">
        <v>34</v>
      </c>
    </row>
    <row r="530" spans="1:3" x14ac:dyDescent="0.5">
      <c r="A530">
        <v>2000</v>
      </c>
      <c r="B530" s="1" t="s">
        <v>18</v>
      </c>
      <c r="C530">
        <v>59</v>
      </c>
    </row>
    <row r="531" spans="1:3" x14ac:dyDescent="0.5">
      <c r="A531">
        <v>2001</v>
      </c>
      <c r="B531" s="1" t="s">
        <v>18</v>
      </c>
      <c r="C531">
        <v>52</v>
      </c>
    </row>
    <row r="532" spans="1:3" x14ac:dyDescent="0.5">
      <c r="A532">
        <v>2002</v>
      </c>
      <c r="B532" s="1" t="s">
        <v>18</v>
      </c>
      <c r="C532">
        <v>59</v>
      </c>
    </row>
    <row r="533" spans="1:3" x14ac:dyDescent="0.5">
      <c r="A533">
        <v>2003</v>
      </c>
      <c r="B533" s="1" t="s">
        <v>18</v>
      </c>
      <c r="C533">
        <v>55</v>
      </c>
    </row>
    <row r="534" spans="1:3" x14ac:dyDescent="0.5">
      <c r="A534">
        <v>2004</v>
      </c>
      <c r="B534" s="1" t="s">
        <v>18</v>
      </c>
      <c r="C534">
        <v>62</v>
      </c>
    </row>
    <row r="535" spans="1:3" x14ac:dyDescent="0.5">
      <c r="A535">
        <v>2005</v>
      </c>
      <c r="B535" s="1" t="s">
        <v>18</v>
      </c>
      <c r="C535">
        <v>70</v>
      </c>
    </row>
    <row r="536" spans="1:3" x14ac:dyDescent="0.5">
      <c r="A536">
        <v>2006</v>
      </c>
      <c r="B536" s="1" t="s">
        <v>18</v>
      </c>
      <c r="C536">
        <v>49</v>
      </c>
    </row>
    <row r="537" spans="1:3" x14ac:dyDescent="0.5">
      <c r="A537">
        <v>2007</v>
      </c>
      <c r="B537" s="1" t="s">
        <v>18</v>
      </c>
      <c r="C537">
        <v>75</v>
      </c>
    </row>
    <row r="538" spans="1:3" x14ac:dyDescent="0.5">
      <c r="A538">
        <v>2008</v>
      </c>
      <c r="B538" s="1" t="s">
        <v>18</v>
      </c>
      <c r="C538">
        <v>53</v>
      </c>
    </row>
    <row r="539" spans="1:3" x14ac:dyDescent="0.5">
      <c r="A539">
        <v>2009</v>
      </c>
      <c r="B539" s="1" t="s">
        <v>18</v>
      </c>
      <c r="C539">
        <v>61</v>
      </c>
    </row>
    <row r="540" spans="1:3" x14ac:dyDescent="0.5">
      <c r="A540">
        <v>2010</v>
      </c>
      <c r="B540" s="1" t="s">
        <v>18</v>
      </c>
      <c r="C540">
        <v>87</v>
      </c>
    </row>
    <row r="541" spans="1:3" x14ac:dyDescent="0.5">
      <c r="A541">
        <v>2011</v>
      </c>
      <c r="B541" s="1" t="s">
        <v>18</v>
      </c>
      <c r="C541">
        <v>66</v>
      </c>
    </row>
    <row r="542" spans="1:3" x14ac:dyDescent="0.5">
      <c r="A542">
        <v>2012</v>
      </c>
      <c r="B542" s="1" t="s">
        <v>18</v>
      </c>
      <c r="C542">
        <v>69</v>
      </c>
    </row>
    <row r="543" spans="1:3" x14ac:dyDescent="0.5">
      <c r="A543">
        <v>2013</v>
      </c>
      <c r="B543" s="1" t="s">
        <v>18</v>
      </c>
      <c r="C543">
        <v>54</v>
      </c>
    </row>
    <row r="544" spans="1:3" x14ac:dyDescent="0.5">
      <c r="A544">
        <v>2014</v>
      </c>
      <c r="B544" s="1" t="s">
        <v>18</v>
      </c>
      <c r="C544">
        <v>78</v>
      </c>
    </row>
    <row r="545" spans="1:3" x14ac:dyDescent="0.5">
      <c r="A545">
        <v>2015</v>
      </c>
      <c r="B545" s="1" t="s">
        <v>18</v>
      </c>
      <c r="C545">
        <v>74</v>
      </c>
    </row>
    <row r="546" spans="1:3" x14ac:dyDescent="0.5">
      <c r="A546">
        <v>1880</v>
      </c>
      <c r="B546" s="1" t="s">
        <v>19</v>
      </c>
      <c r="C546">
        <v>-13</v>
      </c>
    </row>
    <row r="547" spans="1:3" x14ac:dyDescent="0.5">
      <c r="A547">
        <v>1881</v>
      </c>
      <c r="B547" s="1" t="s">
        <v>19</v>
      </c>
      <c r="C547">
        <v>-3</v>
      </c>
    </row>
    <row r="548" spans="1:3" x14ac:dyDescent="0.5">
      <c r="A548">
        <v>1882</v>
      </c>
      <c r="B548" s="1" t="s">
        <v>19</v>
      </c>
      <c r="C548">
        <v>-17</v>
      </c>
    </row>
    <row r="549" spans="1:3" x14ac:dyDescent="0.5">
      <c r="A549">
        <v>1883</v>
      </c>
      <c r="B549" s="1" t="s">
        <v>19</v>
      </c>
      <c r="C549">
        <v>-24</v>
      </c>
    </row>
    <row r="550" spans="1:3" x14ac:dyDescent="0.5">
      <c r="A550">
        <v>1884</v>
      </c>
      <c r="B550" s="1" t="s">
        <v>19</v>
      </c>
      <c r="C550">
        <v>-31</v>
      </c>
    </row>
    <row r="551" spans="1:3" x14ac:dyDescent="0.5">
      <c r="A551">
        <v>1885</v>
      </c>
      <c r="B551" s="1" t="s">
        <v>19</v>
      </c>
      <c r="C551">
        <v>-41</v>
      </c>
    </row>
    <row r="552" spans="1:3" x14ac:dyDescent="0.5">
      <c r="A552">
        <v>1886</v>
      </c>
      <c r="B552" s="1" t="s">
        <v>19</v>
      </c>
      <c r="C552">
        <v>-27</v>
      </c>
    </row>
    <row r="553" spans="1:3" x14ac:dyDescent="0.5">
      <c r="A553">
        <v>1887</v>
      </c>
      <c r="B553" s="1" t="s">
        <v>19</v>
      </c>
      <c r="C553">
        <v>-33</v>
      </c>
    </row>
    <row r="554" spans="1:3" x14ac:dyDescent="0.5">
      <c r="A554">
        <v>1888</v>
      </c>
      <c r="B554" s="1" t="s">
        <v>19</v>
      </c>
      <c r="C554">
        <v>-21</v>
      </c>
    </row>
    <row r="555" spans="1:3" x14ac:dyDescent="0.5">
      <c r="A555">
        <v>1889</v>
      </c>
      <c r="B555" s="1" t="s">
        <v>19</v>
      </c>
      <c r="C555">
        <v>-3</v>
      </c>
    </row>
    <row r="556" spans="1:3" x14ac:dyDescent="0.5">
      <c r="A556">
        <v>1890</v>
      </c>
      <c r="B556" s="1" t="s">
        <v>19</v>
      </c>
      <c r="C556">
        <v>-48</v>
      </c>
    </row>
    <row r="557" spans="1:3" x14ac:dyDescent="0.5">
      <c r="A557">
        <v>1891</v>
      </c>
      <c r="B557" s="1" t="s">
        <v>19</v>
      </c>
      <c r="C557">
        <v>-17</v>
      </c>
    </row>
    <row r="558" spans="1:3" x14ac:dyDescent="0.5">
      <c r="A558">
        <v>1892</v>
      </c>
      <c r="B558" s="1" t="s">
        <v>19</v>
      </c>
      <c r="C558">
        <v>-24</v>
      </c>
    </row>
    <row r="559" spans="1:3" x14ac:dyDescent="0.5">
      <c r="A559">
        <v>1893</v>
      </c>
      <c r="B559" s="1" t="s">
        <v>19</v>
      </c>
      <c r="C559">
        <v>-34</v>
      </c>
    </row>
    <row r="560" spans="1:3" x14ac:dyDescent="0.5">
      <c r="A560">
        <v>1894</v>
      </c>
      <c r="B560" s="1" t="s">
        <v>19</v>
      </c>
      <c r="C560">
        <v>-29</v>
      </c>
    </row>
    <row r="561" spans="1:3" x14ac:dyDescent="0.5">
      <c r="A561">
        <v>1895</v>
      </c>
      <c r="B561" s="1" t="s">
        <v>19</v>
      </c>
      <c r="C561">
        <v>-23</v>
      </c>
    </row>
    <row r="562" spans="1:3" x14ac:dyDescent="0.5">
      <c r="A562">
        <v>1896</v>
      </c>
      <c r="B562" s="1" t="s">
        <v>19</v>
      </c>
      <c r="C562">
        <v>-19</v>
      </c>
    </row>
    <row r="563" spans="1:3" x14ac:dyDescent="0.5">
      <c r="A563">
        <v>1897</v>
      </c>
      <c r="B563" s="1" t="s">
        <v>19</v>
      </c>
      <c r="C563">
        <v>0</v>
      </c>
    </row>
    <row r="564" spans="1:3" x14ac:dyDescent="0.5">
      <c r="A564">
        <v>1898</v>
      </c>
      <c r="B564" s="1" t="s">
        <v>19</v>
      </c>
      <c r="C564">
        <v>-36</v>
      </c>
    </row>
    <row r="565" spans="1:3" x14ac:dyDescent="0.5">
      <c r="A565">
        <v>1899</v>
      </c>
      <c r="B565" s="1" t="s">
        <v>19</v>
      </c>
      <c r="C565">
        <v>-20</v>
      </c>
    </row>
    <row r="566" spans="1:3" x14ac:dyDescent="0.5">
      <c r="A566">
        <v>1900</v>
      </c>
      <c r="B566" s="1" t="s">
        <v>19</v>
      </c>
      <c r="C566">
        <v>-4</v>
      </c>
    </row>
    <row r="567" spans="1:3" x14ac:dyDescent="0.5">
      <c r="A567">
        <v>1901</v>
      </c>
      <c r="B567" s="1" t="s">
        <v>19</v>
      </c>
      <c r="C567">
        <v>-17</v>
      </c>
    </row>
    <row r="568" spans="1:3" x14ac:dyDescent="0.5">
      <c r="A568">
        <v>1902</v>
      </c>
      <c r="B568" s="1" t="s">
        <v>19</v>
      </c>
      <c r="C568">
        <v>-29</v>
      </c>
    </row>
    <row r="569" spans="1:3" x14ac:dyDescent="0.5">
      <c r="A569">
        <v>1903</v>
      </c>
      <c r="B569" s="1" t="s">
        <v>19</v>
      </c>
      <c r="C569">
        <v>-41</v>
      </c>
    </row>
    <row r="570" spans="1:3" x14ac:dyDescent="0.5">
      <c r="A570">
        <v>1904</v>
      </c>
      <c r="B570" s="1" t="s">
        <v>19</v>
      </c>
      <c r="C570">
        <v>-50</v>
      </c>
    </row>
    <row r="571" spans="1:3" x14ac:dyDescent="0.5">
      <c r="A571">
        <v>1905</v>
      </c>
      <c r="B571" s="1" t="s">
        <v>19</v>
      </c>
      <c r="C571">
        <v>-33</v>
      </c>
    </row>
    <row r="572" spans="1:3" x14ac:dyDescent="0.5">
      <c r="A572">
        <v>1906</v>
      </c>
      <c r="B572" s="1" t="s">
        <v>19</v>
      </c>
      <c r="C572">
        <v>-20</v>
      </c>
    </row>
    <row r="573" spans="1:3" x14ac:dyDescent="0.5">
      <c r="A573">
        <v>1907</v>
      </c>
      <c r="B573" s="1" t="s">
        <v>19</v>
      </c>
      <c r="C573">
        <v>-45</v>
      </c>
    </row>
    <row r="574" spans="1:3" x14ac:dyDescent="0.5">
      <c r="A574">
        <v>1908</v>
      </c>
      <c r="B574" s="1" t="s">
        <v>19</v>
      </c>
      <c r="C574">
        <v>-39</v>
      </c>
    </row>
    <row r="575" spans="1:3" x14ac:dyDescent="0.5">
      <c r="A575">
        <v>1909</v>
      </c>
      <c r="B575" s="1" t="s">
        <v>19</v>
      </c>
      <c r="C575">
        <v>-54</v>
      </c>
    </row>
    <row r="576" spans="1:3" x14ac:dyDescent="0.5">
      <c r="A576">
        <v>1910</v>
      </c>
      <c r="B576" s="1" t="s">
        <v>19</v>
      </c>
      <c r="C576">
        <v>-33</v>
      </c>
    </row>
    <row r="577" spans="1:3" x14ac:dyDescent="0.5">
      <c r="A577">
        <v>1911</v>
      </c>
      <c r="B577" s="1" t="s">
        <v>19</v>
      </c>
      <c r="C577">
        <v>-52</v>
      </c>
    </row>
    <row r="578" spans="1:3" x14ac:dyDescent="0.5">
      <c r="A578">
        <v>1912</v>
      </c>
      <c r="B578" s="1" t="s">
        <v>19</v>
      </c>
      <c r="C578">
        <v>-20</v>
      </c>
    </row>
    <row r="579" spans="1:3" x14ac:dyDescent="0.5">
      <c r="A579">
        <v>1913</v>
      </c>
      <c r="B579" s="1" t="s">
        <v>19</v>
      </c>
      <c r="C579">
        <v>-45</v>
      </c>
    </row>
    <row r="580" spans="1:3" x14ac:dyDescent="0.5">
      <c r="A580">
        <v>1914</v>
      </c>
      <c r="B580" s="1" t="s">
        <v>19</v>
      </c>
      <c r="C580">
        <v>-19</v>
      </c>
    </row>
    <row r="581" spans="1:3" x14ac:dyDescent="0.5">
      <c r="A581">
        <v>1915</v>
      </c>
      <c r="B581" s="1" t="s">
        <v>19</v>
      </c>
      <c r="C581">
        <v>-1</v>
      </c>
    </row>
    <row r="582" spans="1:3" x14ac:dyDescent="0.5">
      <c r="A582">
        <v>1916</v>
      </c>
      <c r="B582" s="1" t="s">
        <v>19</v>
      </c>
      <c r="C582">
        <v>-26</v>
      </c>
    </row>
    <row r="583" spans="1:3" x14ac:dyDescent="0.5">
      <c r="A583">
        <v>1917</v>
      </c>
      <c r="B583" s="1" t="s">
        <v>19</v>
      </c>
      <c r="C583">
        <v>-48</v>
      </c>
    </row>
    <row r="584" spans="1:3" x14ac:dyDescent="0.5">
      <c r="A584">
        <v>1918</v>
      </c>
      <c r="B584" s="1" t="s">
        <v>19</v>
      </c>
      <c r="C584">
        <v>-36</v>
      </c>
    </row>
    <row r="585" spans="1:3" x14ac:dyDescent="0.5">
      <c r="A585">
        <v>1919</v>
      </c>
      <c r="B585" s="1" t="s">
        <v>19</v>
      </c>
      <c r="C585">
        <v>-18</v>
      </c>
    </row>
    <row r="586" spans="1:3" x14ac:dyDescent="0.5">
      <c r="A586">
        <v>1920</v>
      </c>
      <c r="B586" s="1" t="s">
        <v>19</v>
      </c>
      <c r="C586">
        <v>-24</v>
      </c>
    </row>
    <row r="587" spans="1:3" x14ac:dyDescent="0.5">
      <c r="A587">
        <v>1921</v>
      </c>
      <c r="B587" s="1" t="s">
        <v>19</v>
      </c>
      <c r="C587">
        <v>-34</v>
      </c>
    </row>
    <row r="588" spans="1:3" x14ac:dyDescent="0.5">
      <c r="A588">
        <v>1922</v>
      </c>
      <c r="B588" s="1" t="s">
        <v>19</v>
      </c>
      <c r="C588">
        <v>-33</v>
      </c>
    </row>
    <row r="589" spans="1:3" x14ac:dyDescent="0.5">
      <c r="A589">
        <v>1923</v>
      </c>
      <c r="B589" s="1" t="s">
        <v>19</v>
      </c>
      <c r="C589">
        <v>-31</v>
      </c>
    </row>
    <row r="590" spans="1:3" x14ac:dyDescent="0.5">
      <c r="A590">
        <v>1924</v>
      </c>
      <c r="B590" s="1" t="s">
        <v>19</v>
      </c>
      <c r="C590">
        <v>-17</v>
      </c>
    </row>
    <row r="591" spans="1:3" x14ac:dyDescent="0.5">
      <c r="A591">
        <v>1925</v>
      </c>
      <c r="B591" s="1" t="s">
        <v>19</v>
      </c>
      <c r="C591">
        <v>-29</v>
      </c>
    </row>
    <row r="592" spans="1:3" x14ac:dyDescent="0.5">
      <c r="A592">
        <v>1926</v>
      </c>
      <c r="B592" s="1" t="s">
        <v>19</v>
      </c>
      <c r="C592">
        <v>-23</v>
      </c>
    </row>
    <row r="593" spans="1:3" x14ac:dyDescent="0.5">
      <c r="A593">
        <v>1927</v>
      </c>
      <c r="B593" s="1" t="s">
        <v>19</v>
      </c>
      <c r="C593">
        <v>-24</v>
      </c>
    </row>
    <row r="594" spans="1:3" x14ac:dyDescent="0.5">
      <c r="A594">
        <v>1928</v>
      </c>
      <c r="B594" s="1" t="s">
        <v>19</v>
      </c>
      <c r="C594">
        <v>-28</v>
      </c>
    </row>
    <row r="595" spans="1:3" x14ac:dyDescent="0.5">
      <c r="A595">
        <v>1929</v>
      </c>
      <c r="B595" s="1" t="s">
        <v>19</v>
      </c>
      <c r="C595">
        <v>-38</v>
      </c>
    </row>
    <row r="596" spans="1:3" x14ac:dyDescent="0.5">
      <c r="A596">
        <v>1930</v>
      </c>
      <c r="B596" s="1" t="s">
        <v>19</v>
      </c>
      <c r="C596">
        <v>-24</v>
      </c>
    </row>
    <row r="597" spans="1:3" x14ac:dyDescent="0.5">
      <c r="A597">
        <v>1931</v>
      </c>
      <c r="B597" s="1" t="s">
        <v>19</v>
      </c>
      <c r="C597">
        <v>-21</v>
      </c>
    </row>
    <row r="598" spans="1:3" x14ac:dyDescent="0.5">
      <c r="A598">
        <v>1932</v>
      </c>
      <c r="B598" s="1" t="s">
        <v>19</v>
      </c>
      <c r="C598">
        <v>-22</v>
      </c>
    </row>
    <row r="599" spans="1:3" x14ac:dyDescent="0.5">
      <c r="A599">
        <v>1933</v>
      </c>
      <c r="B599" s="1" t="s">
        <v>19</v>
      </c>
      <c r="C599">
        <v>-25</v>
      </c>
    </row>
    <row r="600" spans="1:3" x14ac:dyDescent="0.5">
      <c r="A600">
        <v>1934</v>
      </c>
      <c r="B600" s="1" t="s">
        <v>19</v>
      </c>
      <c r="C600">
        <v>-10</v>
      </c>
    </row>
    <row r="601" spans="1:3" x14ac:dyDescent="0.5">
      <c r="A601">
        <v>1935</v>
      </c>
      <c r="B601" s="1" t="s">
        <v>19</v>
      </c>
      <c r="C601">
        <v>-25</v>
      </c>
    </row>
    <row r="602" spans="1:3" x14ac:dyDescent="0.5">
      <c r="A602">
        <v>1936</v>
      </c>
      <c r="B602" s="1" t="s">
        <v>19</v>
      </c>
      <c r="C602">
        <v>-15</v>
      </c>
    </row>
    <row r="603" spans="1:3" x14ac:dyDescent="0.5">
      <c r="A603">
        <v>1937</v>
      </c>
      <c r="B603" s="1" t="s">
        <v>19</v>
      </c>
      <c r="C603">
        <v>-6</v>
      </c>
    </row>
    <row r="604" spans="1:3" x14ac:dyDescent="0.5">
      <c r="A604">
        <v>1938</v>
      </c>
      <c r="B604" s="1" t="s">
        <v>19</v>
      </c>
      <c r="C604">
        <v>-7</v>
      </c>
    </row>
    <row r="605" spans="1:3" x14ac:dyDescent="0.5">
      <c r="A605">
        <v>1939</v>
      </c>
      <c r="B605" s="1" t="s">
        <v>19</v>
      </c>
      <c r="C605">
        <v>-7</v>
      </c>
    </row>
    <row r="606" spans="1:3" x14ac:dyDescent="0.5">
      <c r="A606">
        <v>1940</v>
      </c>
      <c r="B606" s="1" t="s">
        <v>19</v>
      </c>
      <c r="C606">
        <v>6</v>
      </c>
    </row>
    <row r="607" spans="1:3" x14ac:dyDescent="0.5">
      <c r="A607">
        <v>1941</v>
      </c>
      <c r="B607" s="1" t="s">
        <v>19</v>
      </c>
      <c r="C607">
        <v>10</v>
      </c>
    </row>
    <row r="608" spans="1:3" x14ac:dyDescent="0.5">
      <c r="A608">
        <v>1942</v>
      </c>
      <c r="B608" s="1" t="s">
        <v>19</v>
      </c>
      <c r="C608">
        <v>15</v>
      </c>
    </row>
    <row r="609" spans="1:3" x14ac:dyDescent="0.5">
      <c r="A609">
        <v>1943</v>
      </c>
      <c r="B609" s="1" t="s">
        <v>19</v>
      </c>
      <c r="C609">
        <v>11</v>
      </c>
    </row>
    <row r="610" spans="1:3" x14ac:dyDescent="0.5">
      <c r="A610">
        <v>1944</v>
      </c>
      <c r="B610" s="1" t="s">
        <v>19</v>
      </c>
      <c r="C610">
        <v>26</v>
      </c>
    </row>
    <row r="611" spans="1:3" x14ac:dyDescent="0.5">
      <c r="A611">
        <v>1945</v>
      </c>
      <c r="B611" s="1" t="s">
        <v>19</v>
      </c>
      <c r="C611">
        <v>11</v>
      </c>
    </row>
    <row r="612" spans="1:3" x14ac:dyDescent="0.5">
      <c r="A612">
        <v>1946</v>
      </c>
      <c r="B612" s="1" t="s">
        <v>19</v>
      </c>
      <c r="C612">
        <v>-2</v>
      </c>
    </row>
    <row r="613" spans="1:3" x14ac:dyDescent="0.5">
      <c r="A613">
        <v>1947</v>
      </c>
      <c r="B613" s="1" t="s">
        <v>19</v>
      </c>
      <c r="C613">
        <v>-6</v>
      </c>
    </row>
    <row r="614" spans="1:3" x14ac:dyDescent="0.5">
      <c r="A614">
        <v>1948</v>
      </c>
      <c r="B614" s="1" t="s">
        <v>19</v>
      </c>
      <c r="C614">
        <v>6</v>
      </c>
    </row>
    <row r="615" spans="1:3" x14ac:dyDescent="0.5">
      <c r="A615">
        <v>1949</v>
      </c>
      <c r="B615" s="1" t="s">
        <v>19</v>
      </c>
      <c r="C615">
        <v>-10</v>
      </c>
    </row>
    <row r="616" spans="1:3" x14ac:dyDescent="0.5">
      <c r="A616">
        <v>1950</v>
      </c>
      <c r="B616" s="1" t="s">
        <v>19</v>
      </c>
      <c r="C616">
        <v>-12</v>
      </c>
    </row>
    <row r="617" spans="1:3" x14ac:dyDescent="0.5">
      <c r="A617">
        <v>1951</v>
      </c>
      <c r="B617" s="1" t="s">
        <v>19</v>
      </c>
      <c r="C617">
        <v>-1</v>
      </c>
    </row>
    <row r="618" spans="1:3" x14ac:dyDescent="0.5">
      <c r="A618">
        <v>1952</v>
      </c>
      <c r="B618" s="1" t="s">
        <v>19</v>
      </c>
      <c r="C618">
        <v>-5</v>
      </c>
    </row>
    <row r="619" spans="1:3" x14ac:dyDescent="0.5">
      <c r="A619">
        <v>1953</v>
      </c>
      <c r="B619" s="1" t="s">
        <v>19</v>
      </c>
      <c r="C619">
        <v>9</v>
      </c>
    </row>
    <row r="620" spans="1:3" x14ac:dyDescent="0.5">
      <c r="A620">
        <v>1954</v>
      </c>
      <c r="B620" s="1" t="s">
        <v>19</v>
      </c>
      <c r="C620">
        <v>-20</v>
      </c>
    </row>
    <row r="621" spans="1:3" x14ac:dyDescent="0.5">
      <c r="A621">
        <v>1955</v>
      </c>
      <c r="B621" s="1" t="s">
        <v>19</v>
      </c>
      <c r="C621">
        <v>-20</v>
      </c>
    </row>
    <row r="622" spans="1:3" x14ac:dyDescent="0.5">
      <c r="A622">
        <v>1956</v>
      </c>
      <c r="B622" s="1" t="s">
        <v>19</v>
      </c>
      <c r="C622">
        <v>-27</v>
      </c>
    </row>
    <row r="623" spans="1:3" x14ac:dyDescent="0.5">
      <c r="A623">
        <v>1957</v>
      </c>
      <c r="B623" s="1" t="s">
        <v>19</v>
      </c>
      <c r="C623">
        <v>7</v>
      </c>
    </row>
    <row r="624" spans="1:3" x14ac:dyDescent="0.5">
      <c r="A624">
        <v>1958</v>
      </c>
      <c r="B624" s="1" t="s">
        <v>19</v>
      </c>
      <c r="C624">
        <v>7</v>
      </c>
    </row>
    <row r="625" spans="1:3" x14ac:dyDescent="0.5">
      <c r="A625">
        <v>1959</v>
      </c>
      <c r="B625" s="1" t="s">
        <v>19</v>
      </c>
      <c r="C625">
        <v>5</v>
      </c>
    </row>
    <row r="626" spans="1:3" x14ac:dyDescent="0.5">
      <c r="A626">
        <v>1960</v>
      </c>
      <c r="B626" s="1" t="s">
        <v>19</v>
      </c>
      <c r="C626">
        <v>-9</v>
      </c>
    </row>
    <row r="627" spans="1:3" x14ac:dyDescent="0.5">
      <c r="A627">
        <v>1961</v>
      </c>
      <c r="B627" s="1" t="s">
        <v>19</v>
      </c>
      <c r="C627">
        <v>14</v>
      </c>
    </row>
    <row r="628" spans="1:3" x14ac:dyDescent="0.5">
      <c r="A628">
        <v>1962</v>
      </c>
      <c r="B628" s="1" t="s">
        <v>19</v>
      </c>
      <c r="C628">
        <v>-6</v>
      </c>
    </row>
    <row r="629" spans="1:3" x14ac:dyDescent="0.5">
      <c r="A629">
        <v>1963</v>
      </c>
      <c r="B629" s="1" t="s">
        <v>19</v>
      </c>
      <c r="C629">
        <v>-10</v>
      </c>
    </row>
    <row r="630" spans="1:3" x14ac:dyDescent="0.5">
      <c r="A630">
        <v>1964</v>
      </c>
      <c r="B630" s="1" t="s">
        <v>19</v>
      </c>
      <c r="C630">
        <v>-26</v>
      </c>
    </row>
    <row r="631" spans="1:3" x14ac:dyDescent="0.5">
      <c r="A631">
        <v>1965</v>
      </c>
      <c r="B631" s="1" t="s">
        <v>19</v>
      </c>
      <c r="C631">
        <v>-14</v>
      </c>
    </row>
    <row r="632" spans="1:3" x14ac:dyDescent="0.5">
      <c r="A632">
        <v>1966</v>
      </c>
      <c r="B632" s="1" t="s">
        <v>19</v>
      </c>
      <c r="C632">
        <v>-9</v>
      </c>
    </row>
    <row r="633" spans="1:3" x14ac:dyDescent="0.5">
      <c r="A633">
        <v>1967</v>
      </c>
      <c r="B633" s="1" t="s">
        <v>19</v>
      </c>
      <c r="C633">
        <v>12</v>
      </c>
    </row>
    <row r="634" spans="1:3" x14ac:dyDescent="0.5">
      <c r="A634">
        <v>1968</v>
      </c>
      <c r="B634" s="1" t="s">
        <v>19</v>
      </c>
      <c r="C634">
        <v>-10</v>
      </c>
    </row>
    <row r="635" spans="1:3" x14ac:dyDescent="0.5">
      <c r="A635">
        <v>1969</v>
      </c>
      <c r="B635" s="1" t="s">
        <v>19</v>
      </c>
      <c r="C635">
        <v>19</v>
      </c>
    </row>
    <row r="636" spans="1:3" x14ac:dyDescent="0.5">
      <c r="A636">
        <v>1970</v>
      </c>
      <c r="B636" s="1" t="s">
        <v>19</v>
      </c>
      <c r="C636">
        <v>-5</v>
      </c>
    </row>
    <row r="637" spans="1:3" x14ac:dyDescent="0.5">
      <c r="A637">
        <v>1971</v>
      </c>
      <c r="B637" s="1" t="s">
        <v>19</v>
      </c>
      <c r="C637">
        <v>-7</v>
      </c>
    </row>
    <row r="638" spans="1:3" x14ac:dyDescent="0.5">
      <c r="A638">
        <v>1972</v>
      </c>
      <c r="B638" s="1" t="s">
        <v>19</v>
      </c>
      <c r="C638">
        <v>-1</v>
      </c>
    </row>
    <row r="639" spans="1:3" x14ac:dyDescent="0.5">
      <c r="A639">
        <v>1973</v>
      </c>
      <c r="B639" s="1" t="s">
        <v>19</v>
      </c>
      <c r="C639">
        <v>26</v>
      </c>
    </row>
    <row r="640" spans="1:3" x14ac:dyDescent="0.5">
      <c r="A640">
        <v>1974</v>
      </c>
      <c r="B640" s="1" t="s">
        <v>19</v>
      </c>
      <c r="C640">
        <v>0</v>
      </c>
    </row>
    <row r="641" spans="1:3" x14ac:dyDescent="0.5">
      <c r="A641">
        <v>1975</v>
      </c>
      <c r="B641" s="1" t="s">
        <v>19</v>
      </c>
      <c r="C641">
        <v>17</v>
      </c>
    </row>
    <row r="642" spans="1:3" x14ac:dyDescent="0.5">
      <c r="A642">
        <v>1976</v>
      </c>
      <c r="B642" s="1" t="s">
        <v>19</v>
      </c>
      <c r="C642">
        <v>-23</v>
      </c>
    </row>
    <row r="643" spans="1:3" x14ac:dyDescent="0.5">
      <c r="A643">
        <v>1977</v>
      </c>
      <c r="B643" s="1" t="s">
        <v>19</v>
      </c>
      <c r="C643">
        <v>30</v>
      </c>
    </row>
    <row r="644" spans="1:3" x14ac:dyDescent="0.5">
      <c r="A644">
        <v>1978</v>
      </c>
      <c r="B644" s="1" t="s">
        <v>19</v>
      </c>
      <c r="C644">
        <v>7</v>
      </c>
    </row>
    <row r="645" spans="1:3" x14ac:dyDescent="0.5">
      <c r="A645">
        <v>1979</v>
      </c>
      <c r="B645" s="1" t="s">
        <v>19</v>
      </c>
      <c r="C645">
        <v>6</v>
      </c>
    </row>
    <row r="646" spans="1:3" x14ac:dyDescent="0.5">
      <c r="A646">
        <v>1980</v>
      </c>
      <c r="B646" s="1" t="s">
        <v>19</v>
      </c>
      <c r="C646">
        <v>35</v>
      </c>
    </row>
    <row r="647" spans="1:3" x14ac:dyDescent="0.5">
      <c r="A647">
        <v>1981</v>
      </c>
      <c r="B647" s="1" t="s">
        <v>19</v>
      </c>
      <c r="C647">
        <v>23</v>
      </c>
    </row>
    <row r="648" spans="1:3" x14ac:dyDescent="0.5">
      <c r="A648">
        <v>1982</v>
      </c>
      <c r="B648" s="1" t="s">
        <v>19</v>
      </c>
      <c r="C648">
        <v>15</v>
      </c>
    </row>
    <row r="649" spans="1:3" x14ac:dyDescent="0.5">
      <c r="A649">
        <v>1983</v>
      </c>
      <c r="B649" s="1" t="s">
        <v>19</v>
      </c>
      <c r="C649">
        <v>36</v>
      </c>
    </row>
    <row r="650" spans="1:3" x14ac:dyDescent="0.5">
      <c r="A650">
        <v>1984</v>
      </c>
      <c r="B650" s="1" t="s">
        <v>19</v>
      </c>
      <c r="C650">
        <v>34</v>
      </c>
    </row>
    <row r="651" spans="1:3" x14ac:dyDescent="0.5">
      <c r="A651">
        <v>1985</v>
      </c>
      <c r="B651" s="1" t="s">
        <v>19</v>
      </c>
      <c r="C651">
        <v>18</v>
      </c>
    </row>
    <row r="652" spans="1:3" x14ac:dyDescent="0.5">
      <c r="A652">
        <v>1986</v>
      </c>
      <c r="B652" s="1" t="s">
        <v>19</v>
      </c>
      <c r="C652">
        <v>26</v>
      </c>
    </row>
    <row r="653" spans="1:3" x14ac:dyDescent="0.5">
      <c r="A653">
        <v>1987</v>
      </c>
      <c r="B653" s="1" t="s">
        <v>19</v>
      </c>
      <c r="C653">
        <v>26</v>
      </c>
    </row>
    <row r="654" spans="1:3" x14ac:dyDescent="0.5">
      <c r="A654">
        <v>1988</v>
      </c>
      <c r="B654" s="1" t="s">
        <v>19</v>
      </c>
      <c r="C654">
        <v>44</v>
      </c>
    </row>
    <row r="655" spans="1:3" x14ac:dyDescent="0.5">
      <c r="A655">
        <v>1989</v>
      </c>
      <c r="B655" s="1" t="s">
        <v>19</v>
      </c>
      <c r="C655">
        <v>17</v>
      </c>
    </row>
    <row r="656" spans="1:3" x14ac:dyDescent="0.5">
      <c r="A656">
        <v>1990</v>
      </c>
      <c r="B656" s="1" t="s">
        <v>19</v>
      </c>
      <c r="C656">
        <v>46</v>
      </c>
    </row>
    <row r="657" spans="1:3" x14ac:dyDescent="0.5">
      <c r="A657">
        <v>1991</v>
      </c>
      <c r="B657" s="1" t="s">
        <v>19</v>
      </c>
      <c r="C657">
        <v>39</v>
      </c>
    </row>
    <row r="658" spans="1:3" x14ac:dyDescent="0.5">
      <c r="A658">
        <v>1992</v>
      </c>
      <c r="B658" s="1" t="s">
        <v>19</v>
      </c>
      <c r="C658">
        <v>32</v>
      </c>
    </row>
    <row r="659" spans="1:3" x14ac:dyDescent="0.5">
      <c r="A659">
        <v>1993</v>
      </c>
      <c r="B659" s="1" t="s">
        <v>19</v>
      </c>
      <c r="C659">
        <v>27</v>
      </c>
    </row>
    <row r="660" spans="1:3" x14ac:dyDescent="0.5">
      <c r="A660">
        <v>1994</v>
      </c>
      <c r="B660" s="1" t="s">
        <v>19</v>
      </c>
      <c r="C660">
        <v>29</v>
      </c>
    </row>
    <row r="661" spans="1:3" x14ac:dyDescent="0.5">
      <c r="A661">
        <v>1995</v>
      </c>
      <c r="B661" s="1" t="s">
        <v>19</v>
      </c>
      <c r="C661">
        <v>29</v>
      </c>
    </row>
    <row r="662" spans="1:3" x14ac:dyDescent="0.5">
      <c r="A662">
        <v>1996</v>
      </c>
      <c r="B662" s="1" t="s">
        <v>19</v>
      </c>
      <c r="C662">
        <v>29</v>
      </c>
    </row>
    <row r="663" spans="1:3" x14ac:dyDescent="0.5">
      <c r="A663">
        <v>1997</v>
      </c>
      <c r="B663" s="1" t="s">
        <v>19</v>
      </c>
      <c r="C663">
        <v>38</v>
      </c>
    </row>
    <row r="664" spans="1:3" x14ac:dyDescent="0.5">
      <c r="A664">
        <v>1998</v>
      </c>
      <c r="B664" s="1" t="s">
        <v>19</v>
      </c>
      <c r="C664">
        <v>71</v>
      </c>
    </row>
    <row r="665" spans="1:3" x14ac:dyDescent="0.5">
      <c r="A665">
        <v>1999</v>
      </c>
      <c r="B665" s="1" t="s">
        <v>19</v>
      </c>
      <c r="C665">
        <v>33</v>
      </c>
    </row>
    <row r="666" spans="1:3" x14ac:dyDescent="0.5">
      <c r="A666">
        <v>2000</v>
      </c>
      <c r="B666" s="1" t="s">
        <v>19</v>
      </c>
      <c r="C666">
        <v>40</v>
      </c>
    </row>
    <row r="667" spans="1:3" x14ac:dyDescent="0.5">
      <c r="A667">
        <v>2001</v>
      </c>
      <c r="B667" s="1" t="s">
        <v>19</v>
      </c>
      <c r="C667">
        <v>59</v>
      </c>
    </row>
    <row r="668" spans="1:3" x14ac:dyDescent="0.5">
      <c r="A668">
        <v>2002</v>
      </c>
      <c r="B668" s="1" t="s">
        <v>19</v>
      </c>
      <c r="C668">
        <v>65</v>
      </c>
    </row>
    <row r="669" spans="1:3" x14ac:dyDescent="0.5">
      <c r="A669">
        <v>2003</v>
      </c>
      <c r="B669" s="1" t="s">
        <v>19</v>
      </c>
      <c r="C669">
        <v>63</v>
      </c>
    </row>
    <row r="670" spans="1:3" x14ac:dyDescent="0.5">
      <c r="A670">
        <v>2004</v>
      </c>
      <c r="B670" s="1" t="s">
        <v>19</v>
      </c>
      <c r="C670">
        <v>42</v>
      </c>
    </row>
    <row r="671" spans="1:3" x14ac:dyDescent="0.5">
      <c r="A671">
        <v>2005</v>
      </c>
      <c r="B671" s="1" t="s">
        <v>19</v>
      </c>
      <c r="C671">
        <v>64</v>
      </c>
    </row>
    <row r="672" spans="1:3" x14ac:dyDescent="0.5">
      <c r="A672">
        <v>2006</v>
      </c>
      <c r="B672" s="1" t="s">
        <v>19</v>
      </c>
      <c r="C672">
        <v>47</v>
      </c>
    </row>
    <row r="673" spans="1:3" x14ac:dyDescent="0.5">
      <c r="A673">
        <v>2007</v>
      </c>
      <c r="B673" s="1" t="s">
        <v>19</v>
      </c>
      <c r="C673">
        <v>69</v>
      </c>
    </row>
    <row r="674" spans="1:3" x14ac:dyDescent="0.5">
      <c r="A674">
        <v>2008</v>
      </c>
      <c r="B674" s="1" t="s">
        <v>19</v>
      </c>
      <c r="C674">
        <v>51</v>
      </c>
    </row>
    <row r="675" spans="1:3" x14ac:dyDescent="0.5">
      <c r="A675">
        <v>2009</v>
      </c>
      <c r="B675" s="1" t="s">
        <v>19</v>
      </c>
      <c r="C675">
        <v>64</v>
      </c>
    </row>
    <row r="676" spans="1:3" x14ac:dyDescent="0.5">
      <c r="A676">
        <v>2010</v>
      </c>
      <c r="B676" s="1" t="s">
        <v>19</v>
      </c>
      <c r="C676">
        <v>75</v>
      </c>
    </row>
    <row r="677" spans="1:3" x14ac:dyDescent="0.5">
      <c r="A677">
        <v>2011</v>
      </c>
      <c r="B677" s="1" t="s">
        <v>19</v>
      </c>
      <c r="C677">
        <v>53</v>
      </c>
    </row>
    <row r="678" spans="1:3" x14ac:dyDescent="0.5">
      <c r="A678">
        <v>2012</v>
      </c>
      <c r="B678" s="1" t="s">
        <v>19</v>
      </c>
      <c r="C678">
        <v>76</v>
      </c>
    </row>
    <row r="679" spans="1:3" x14ac:dyDescent="0.5">
      <c r="A679">
        <v>2013</v>
      </c>
      <c r="B679" s="1" t="s">
        <v>19</v>
      </c>
      <c r="C679">
        <v>61</v>
      </c>
    </row>
    <row r="680" spans="1:3" x14ac:dyDescent="0.5">
      <c r="A680">
        <v>2014</v>
      </c>
      <c r="B680" s="1" t="s">
        <v>19</v>
      </c>
      <c r="C680">
        <v>86</v>
      </c>
    </row>
    <row r="681" spans="1:3" x14ac:dyDescent="0.5">
      <c r="A681">
        <v>2015</v>
      </c>
      <c r="B681" s="1" t="s">
        <v>19</v>
      </c>
      <c r="C681">
        <v>76</v>
      </c>
    </row>
    <row r="682" spans="1:3" x14ac:dyDescent="0.5">
      <c r="A682">
        <v>1880</v>
      </c>
      <c r="B682" s="1" t="s">
        <v>20</v>
      </c>
      <c r="C682">
        <v>-28</v>
      </c>
    </row>
    <row r="683" spans="1:3" x14ac:dyDescent="0.5">
      <c r="A683">
        <v>1881</v>
      </c>
      <c r="B683" s="1" t="s">
        <v>20</v>
      </c>
      <c r="C683">
        <v>-27</v>
      </c>
    </row>
    <row r="684" spans="1:3" x14ac:dyDescent="0.5">
      <c r="A684">
        <v>1882</v>
      </c>
      <c r="B684" s="1" t="s">
        <v>20</v>
      </c>
      <c r="C684">
        <v>-24</v>
      </c>
    </row>
    <row r="685" spans="1:3" x14ac:dyDescent="0.5">
      <c r="A685">
        <v>1883</v>
      </c>
      <c r="B685" s="1" t="s">
        <v>20</v>
      </c>
      <c r="C685">
        <v>-11</v>
      </c>
    </row>
    <row r="686" spans="1:3" x14ac:dyDescent="0.5">
      <c r="A686">
        <v>1884</v>
      </c>
      <c r="B686" s="1" t="s">
        <v>20</v>
      </c>
      <c r="C686">
        <v>-37</v>
      </c>
    </row>
    <row r="687" spans="1:3" x14ac:dyDescent="0.5">
      <c r="A687">
        <v>1885</v>
      </c>
      <c r="B687" s="1" t="s">
        <v>20</v>
      </c>
      <c r="C687">
        <v>-50</v>
      </c>
    </row>
    <row r="688" spans="1:3" x14ac:dyDescent="0.5">
      <c r="A688">
        <v>1886</v>
      </c>
      <c r="B688" s="1" t="s">
        <v>20</v>
      </c>
      <c r="C688">
        <v>-39</v>
      </c>
    </row>
    <row r="689" spans="1:3" x14ac:dyDescent="0.5">
      <c r="A689">
        <v>1887</v>
      </c>
      <c r="B689" s="1" t="s">
        <v>20</v>
      </c>
      <c r="C689">
        <v>-20</v>
      </c>
    </row>
    <row r="690" spans="1:3" x14ac:dyDescent="0.5">
      <c r="A690">
        <v>1888</v>
      </c>
      <c r="B690" s="1" t="s">
        <v>20</v>
      </c>
      <c r="C690">
        <v>-20</v>
      </c>
    </row>
    <row r="691" spans="1:3" x14ac:dyDescent="0.5">
      <c r="A691">
        <v>1889</v>
      </c>
      <c r="B691" s="1" t="s">
        <v>20</v>
      </c>
      <c r="C691">
        <v>-11</v>
      </c>
    </row>
    <row r="692" spans="1:3" x14ac:dyDescent="0.5">
      <c r="A692">
        <v>1890</v>
      </c>
      <c r="B692" s="1" t="s">
        <v>20</v>
      </c>
      <c r="C692">
        <v>-27</v>
      </c>
    </row>
    <row r="693" spans="1:3" x14ac:dyDescent="0.5">
      <c r="A693">
        <v>1891</v>
      </c>
      <c r="B693" s="1" t="s">
        <v>20</v>
      </c>
      <c r="C693">
        <v>-21</v>
      </c>
    </row>
    <row r="694" spans="1:3" x14ac:dyDescent="0.5">
      <c r="A694">
        <v>1892</v>
      </c>
      <c r="B694" s="1" t="s">
        <v>20</v>
      </c>
      <c r="C694">
        <v>-18</v>
      </c>
    </row>
    <row r="695" spans="1:3" x14ac:dyDescent="0.5">
      <c r="A695">
        <v>1893</v>
      </c>
      <c r="B695" s="1" t="s">
        <v>20</v>
      </c>
      <c r="C695">
        <v>-22</v>
      </c>
    </row>
    <row r="696" spans="1:3" x14ac:dyDescent="0.5">
      <c r="A696">
        <v>1894</v>
      </c>
      <c r="B696" s="1" t="s">
        <v>20</v>
      </c>
      <c r="C696">
        <v>-43</v>
      </c>
    </row>
    <row r="697" spans="1:3" x14ac:dyDescent="0.5">
      <c r="A697">
        <v>1895</v>
      </c>
      <c r="B697" s="1" t="s">
        <v>20</v>
      </c>
      <c r="C697">
        <v>-24</v>
      </c>
    </row>
    <row r="698" spans="1:3" x14ac:dyDescent="0.5">
      <c r="A698">
        <v>1896</v>
      </c>
      <c r="B698" s="1" t="s">
        <v>20</v>
      </c>
      <c r="C698">
        <v>-13</v>
      </c>
    </row>
    <row r="699" spans="1:3" x14ac:dyDescent="0.5">
      <c r="A699">
        <v>1897</v>
      </c>
      <c r="B699" s="1" t="s">
        <v>20</v>
      </c>
      <c r="C699">
        <v>-13</v>
      </c>
    </row>
    <row r="700" spans="1:3" x14ac:dyDescent="0.5">
      <c r="A700">
        <v>1898</v>
      </c>
      <c r="B700" s="1" t="s">
        <v>20</v>
      </c>
      <c r="C700">
        <v>-21</v>
      </c>
    </row>
    <row r="701" spans="1:3" x14ac:dyDescent="0.5">
      <c r="A701">
        <v>1899</v>
      </c>
      <c r="B701" s="1" t="s">
        <v>20</v>
      </c>
      <c r="C701">
        <v>-26</v>
      </c>
    </row>
    <row r="702" spans="1:3" x14ac:dyDescent="0.5">
      <c r="A702">
        <v>1900</v>
      </c>
      <c r="B702" s="1" t="s">
        <v>20</v>
      </c>
      <c r="C702">
        <v>-13</v>
      </c>
    </row>
    <row r="703" spans="1:3" x14ac:dyDescent="0.5">
      <c r="A703">
        <v>1901</v>
      </c>
      <c r="B703" s="1" t="s">
        <v>20</v>
      </c>
      <c r="C703">
        <v>-9</v>
      </c>
    </row>
    <row r="704" spans="1:3" x14ac:dyDescent="0.5">
      <c r="A704">
        <v>1902</v>
      </c>
      <c r="B704" s="1" t="s">
        <v>20</v>
      </c>
      <c r="C704">
        <v>-33</v>
      </c>
    </row>
    <row r="705" spans="1:3" x14ac:dyDescent="0.5">
      <c r="A705">
        <v>1903</v>
      </c>
      <c r="B705" s="1" t="s">
        <v>20</v>
      </c>
      <c r="C705">
        <v>-43</v>
      </c>
    </row>
    <row r="706" spans="1:3" x14ac:dyDescent="0.5">
      <c r="A706">
        <v>1904</v>
      </c>
      <c r="B706" s="1" t="s">
        <v>20</v>
      </c>
      <c r="C706">
        <v>-49</v>
      </c>
    </row>
    <row r="707" spans="1:3" x14ac:dyDescent="0.5">
      <c r="A707">
        <v>1905</v>
      </c>
      <c r="B707" s="1" t="s">
        <v>20</v>
      </c>
      <c r="C707">
        <v>-30</v>
      </c>
    </row>
    <row r="708" spans="1:3" x14ac:dyDescent="0.5">
      <c r="A708">
        <v>1906</v>
      </c>
      <c r="B708" s="1" t="s">
        <v>20</v>
      </c>
      <c r="C708">
        <v>-20</v>
      </c>
    </row>
    <row r="709" spans="1:3" x14ac:dyDescent="0.5">
      <c r="A709">
        <v>1907</v>
      </c>
      <c r="B709" s="1" t="s">
        <v>20</v>
      </c>
      <c r="C709">
        <v>-42</v>
      </c>
    </row>
    <row r="710" spans="1:3" x14ac:dyDescent="0.5">
      <c r="A710">
        <v>1908</v>
      </c>
      <c r="B710" s="1" t="s">
        <v>20</v>
      </c>
      <c r="C710">
        <v>-37</v>
      </c>
    </row>
    <row r="711" spans="1:3" x14ac:dyDescent="0.5">
      <c r="A711">
        <v>1909</v>
      </c>
      <c r="B711" s="1" t="s">
        <v>20</v>
      </c>
      <c r="C711">
        <v>-52</v>
      </c>
    </row>
    <row r="712" spans="1:3" x14ac:dyDescent="0.5">
      <c r="A712">
        <v>1910</v>
      </c>
      <c r="B712" s="1" t="s">
        <v>20</v>
      </c>
      <c r="C712">
        <v>-36</v>
      </c>
    </row>
    <row r="713" spans="1:3" x14ac:dyDescent="0.5">
      <c r="A713">
        <v>1911</v>
      </c>
      <c r="B713" s="1" t="s">
        <v>20</v>
      </c>
      <c r="C713">
        <v>-47</v>
      </c>
    </row>
    <row r="714" spans="1:3" x14ac:dyDescent="0.5">
      <c r="A714">
        <v>1912</v>
      </c>
      <c r="B714" s="1" t="s">
        <v>20</v>
      </c>
      <c r="C714">
        <v>-26</v>
      </c>
    </row>
    <row r="715" spans="1:3" x14ac:dyDescent="0.5">
      <c r="A715">
        <v>1913</v>
      </c>
      <c r="B715" s="1" t="s">
        <v>20</v>
      </c>
      <c r="C715">
        <v>-45</v>
      </c>
    </row>
    <row r="716" spans="1:3" x14ac:dyDescent="0.5">
      <c r="A716">
        <v>1914</v>
      </c>
      <c r="B716" s="1" t="s">
        <v>20</v>
      </c>
      <c r="C716">
        <v>-21</v>
      </c>
    </row>
    <row r="717" spans="1:3" x14ac:dyDescent="0.5">
      <c r="A717">
        <v>1915</v>
      </c>
      <c r="B717" s="1" t="s">
        <v>20</v>
      </c>
      <c r="C717">
        <v>-14</v>
      </c>
    </row>
    <row r="718" spans="1:3" x14ac:dyDescent="0.5">
      <c r="A718">
        <v>1916</v>
      </c>
      <c r="B718" s="1" t="s">
        <v>20</v>
      </c>
      <c r="C718">
        <v>-41</v>
      </c>
    </row>
    <row r="719" spans="1:3" x14ac:dyDescent="0.5">
      <c r="A719">
        <v>1917</v>
      </c>
      <c r="B719" s="1" t="s">
        <v>20</v>
      </c>
      <c r="C719">
        <v>-39</v>
      </c>
    </row>
    <row r="720" spans="1:3" x14ac:dyDescent="0.5">
      <c r="A720">
        <v>1918</v>
      </c>
      <c r="B720" s="1" t="s">
        <v>20</v>
      </c>
      <c r="C720">
        <v>-27</v>
      </c>
    </row>
    <row r="721" spans="1:3" x14ac:dyDescent="0.5">
      <c r="A721">
        <v>1919</v>
      </c>
      <c r="B721" s="1" t="s">
        <v>20</v>
      </c>
      <c r="C721">
        <v>-26</v>
      </c>
    </row>
    <row r="722" spans="1:3" x14ac:dyDescent="0.5">
      <c r="A722">
        <v>1920</v>
      </c>
      <c r="B722" s="1" t="s">
        <v>20</v>
      </c>
      <c r="C722">
        <v>-31</v>
      </c>
    </row>
    <row r="723" spans="1:3" x14ac:dyDescent="0.5">
      <c r="A723">
        <v>1921</v>
      </c>
      <c r="B723" s="1" t="s">
        <v>20</v>
      </c>
      <c r="C723">
        <v>-29</v>
      </c>
    </row>
    <row r="724" spans="1:3" x14ac:dyDescent="0.5">
      <c r="A724">
        <v>1922</v>
      </c>
      <c r="B724" s="1" t="s">
        <v>20</v>
      </c>
      <c r="C724">
        <v>-31</v>
      </c>
    </row>
    <row r="725" spans="1:3" x14ac:dyDescent="0.5">
      <c r="A725">
        <v>1923</v>
      </c>
      <c r="B725" s="1" t="s">
        <v>20</v>
      </c>
      <c r="C725">
        <v>-22</v>
      </c>
    </row>
    <row r="726" spans="1:3" x14ac:dyDescent="0.5">
      <c r="A726">
        <v>1924</v>
      </c>
      <c r="B726" s="1" t="s">
        <v>20</v>
      </c>
      <c r="C726">
        <v>-26</v>
      </c>
    </row>
    <row r="727" spans="1:3" x14ac:dyDescent="0.5">
      <c r="A727">
        <v>1925</v>
      </c>
      <c r="B727" s="1" t="s">
        <v>20</v>
      </c>
      <c r="C727">
        <v>-32</v>
      </c>
    </row>
    <row r="728" spans="1:3" x14ac:dyDescent="0.5">
      <c r="A728">
        <v>1926</v>
      </c>
      <c r="B728" s="1" t="s">
        <v>20</v>
      </c>
      <c r="C728">
        <v>-24</v>
      </c>
    </row>
    <row r="729" spans="1:3" x14ac:dyDescent="0.5">
      <c r="A729">
        <v>1927</v>
      </c>
      <c r="B729" s="1" t="s">
        <v>20</v>
      </c>
      <c r="C729">
        <v>-26</v>
      </c>
    </row>
    <row r="730" spans="1:3" x14ac:dyDescent="0.5">
      <c r="A730">
        <v>1928</v>
      </c>
      <c r="B730" s="1" t="s">
        <v>20</v>
      </c>
      <c r="C730">
        <v>-40</v>
      </c>
    </row>
    <row r="731" spans="1:3" x14ac:dyDescent="0.5">
      <c r="A731">
        <v>1929</v>
      </c>
      <c r="B731" s="1" t="s">
        <v>20</v>
      </c>
      <c r="C731">
        <v>-42</v>
      </c>
    </row>
    <row r="732" spans="1:3" x14ac:dyDescent="0.5">
      <c r="A732">
        <v>1930</v>
      </c>
      <c r="B732" s="1" t="s">
        <v>20</v>
      </c>
      <c r="C732">
        <v>-17</v>
      </c>
    </row>
    <row r="733" spans="1:3" x14ac:dyDescent="0.5">
      <c r="A733">
        <v>1931</v>
      </c>
      <c r="B733" s="1" t="s">
        <v>20</v>
      </c>
      <c r="C733">
        <v>-5</v>
      </c>
    </row>
    <row r="734" spans="1:3" x14ac:dyDescent="0.5">
      <c r="A734">
        <v>1932</v>
      </c>
      <c r="B734" s="1" t="s">
        <v>20</v>
      </c>
      <c r="C734">
        <v>-29</v>
      </c>
    </row>
    <row r="735" spans="1:3" x14ac:dyDescent="0.5">
      <c r="A735">
        <v>1933</v>
      </c>
      <c r="B735" s="1" t="s">
        <v>20</v>
      </c>
      <c r="C735">
        <v>-31</v>
      </c>
    </row>
    <row r="736" spans="1:3" x14ac:dyDescent="0.5">
      <c r="A736">
        <v>1934</v>
      </c>
      <c r="B736" s="1" t="s">
        <v>20</v>
      </c>
      <c r="C736">
        <v>-13</v>
      </c>
    </row>
    <row r="737" spans="1:3" x14ac:dyDescent="0.5">
      <c r="A737">
        <v>1935</v>
      </c>
      <c r="B737" s="1" t="s">
        <v>20</v>
      </c>
      <c r="C737">
        <v>-22</v>
      </c>
    </row>
    <row r="738" spans="1:3" x14ac:dyDescent="0.5">
      <c r="A738">
        <v>1936</v>
      </c>
      <c r="B738" s="1" t="s">
        <v>20</v>
      </c>
      <c r="C738">
        <v>-18</v>
      </c>
    </row>
    <row r="739" spans="1:3" x14ac:dyDescent="0.5">
      <c r="A739">
        <v>1937</v>
      </c>
      <c r="B739" s="1" t="s">
        <v>20</v>
      </c>
      <c r="C739">
        <v>-7</v>
      </c>
    </row>
    <row r="740" spans="1:3" x14ac:dyDescent="0.5">
      <c r="A740">
        <v>1938</v>
      </c>
      <c r="B740" s="1" t="s">
        <v>20</v>
      </c>
      <c r="C740">
        <v>-17</v>
      </c>
    </row>
    <row r="741" spans="1:3" x14ac:dyDescent="0.5">
      <c r="A741">
        <v>1939</v>
      </c>
      <c r="B741" s="1" t="s">
        <v>20</v>
      </c>
      <c r="C741">
        <v>-8</v>
      </c>
    </row>
    <row r="742" spans="1:3" x14ac:dyDescent="0.5">
      <c r="A742">
        <v>1940</v>
      </c>
      <c r="B742" s="1" t="s">
        <v>20</v>
      </c>
      <c r="C742">
        <v>6</v>
      </c>
    </row>
    <row r="743" spans="1:3" x14ac:dyDescent="0.5">
      <c r="A743">
        <v>1941</v>
      </c>
      <c r="B743" s="1" t="s">
        <v>20</v>
      </c>
      <c r="C743">
        <v>4</v>
      </c>
    </row>
    <row r="744" spans="1:3" x14ac:dyDescent="0.5">
      <c r="A744">
        <v>1942</v>
      </c>
      <c r="B744" s="1" t="s">
        <v>20</v>
      </c>
      <c r="C744">
        <v>12</v>
      </c>
    </row>
    <row r="745" spans="1:3" x14ac:dyDescent="0.5">
      <c r="A745">
        <v>1943</v>
      </c>
      <c r="B745" s="1" t="s">
        <v>20</v>
      </c>
      <c r="C745">
        <v>1</v>
      </c>
    </row>
    <row r="746" spans="1:3" x14ac:dyDescent="0.5">
      <c r="A746">
        <v>1944</v>
      </c>
      <c r="B746" s="1" t="s">
        <v>20</v>
      </c>
      <c r="C746">
        <v>21</v>
      </c>
    </row>
    <row r="747" spans="1:3" x14ac:dyDescent="0.5">
      <c r="A747">
        <v>1945</v>
      </c>
      <c r="B747" s="1" t="s">
        <v>20</v>
      </c>
      <c r="C747">
        <v>3</v>
      </c>
    </row>
    <row r="748" spans="1:3" x14ac:dyDescent="0.5">
      <c r="A748">
        <v>1946</v>
      </c>
      <c r="B748" s="1" t="s">
        <v>20</v>
      </c>
      <c r="C748">
        <v>-15</v>
      </c>
    </row>
    <row r="749" spans="1:3" x14ac:dyDescent="0.5">
      <c r="A749">
        <v>1947</v>
      </c>
      <c r="B749" s="1" t="s">
        <v>20</v>
      </c>
      <c r="C749">
        <v>-2</v>
      </c>
    </row>
    <row r="750" spans="1:3" x14ac:dyDescent="0.5">
      <c r="A750">
        <v>1948</v>
      </c>
      <c r="B750" s="1" t="s">
        <v>20</v>
      </c>
      <c r="C750">
        <v>-5</v>
      </c>
    </row>
    <row r="751" spans="1:3" x14ac:dyDescent="0.5">
      <c r="A751">
        <v>1949</v>
      </c>
      <c r="B751" s="1" t="s">
        <v>20</v>
      </c>
      <c r="C751">
        <v>-25</v>
      </c>
    </row>
    <row r="752" spans="1:3" x14ac:dyDescent="0.5">
      <c r="A752">
        <v>1950</v>
      </c>
      <c r="B752" s="1" t="s">
        <v>20</v>
      </c>
      <c r="C752">
        <v>-8</v>
      </c>
    </row>
    <row r="753" spans="1:3" x14ac:dyDescent="0.5">
      <c r="A753">
        <v>1951</v>
      </c>
      <c r="B753" s="1" t="s">
        <v>20</v>
      </c>
      <c r="C753">
        <v>-7</v>
      </c>
    </row>
    <row r="754" spans="1:3" x14ac:dyDescent="0.5">
      <c r="A754">
        <v>1952</v>
      </c>
      <c r="B754" s="1" t="s">
        <v>20</v>
      </c>
      <c r="C754">
        <v>-4</v>
      </c>
    </row>
    <row r="755" spans="1:3" x14ac:dyDescent="0.5">
      <c r="A755">
        <v>1953</v>
      </c>
      <c r="B755" s="1" t="s">
        <v>20</v>
      </c>
      <c r="C755">
        <v>8</v>
      </c>
    </row>
    <row r="756" spans="1:3" x14ac:dyDescent="0.5">
      <c r="A756">
        <v>1954</v>
      </c>
      <c r="B756" s="1" t="s">
        <v>20</v>
      </c>
      <c r="C756">
        <v>-15</v>
      </c>
    </row>
    <row r="757" spans="1:3" x14ac:dyDescent="0.5">
      <c r="A757">
        <v>1955</v>
      </c>
      <c r="B757" s="1" t="s">
        <v>20</v>
      </c>
      <c r="C757">
        <v>-7</v>
      </c>
    </row>
    <row r="758" spans="1:3" x14ac:dyDescent="0.5">
      <c r="A758">
        <v>1956</v>
      </c>
      <c r="B758" s="1" t="s">
        <v>20</v>
      </c>
      <c r="C758">
        <v>-15</v>
      </c>
    </row>
    <row r="759" spans="1:3" x14ac:dyDescent="0.5">
      <c r="A759">
        <v>1957</v>
      </c>
      <c r="B759" s="1" t="s">
        <v>20</v>
      </c>
      <c r="C759">
        <v>14</v>
      </c>
    </row>
    <row r="760" spans="1:3" x14ac:dyDescent="0.5">
      <c r="A760">
        <v>1958</v>
      </c>
      <c r="B760" s="1" t="s">
        <v>20</v>
      </c>
      <c r="C760">
        <v>-6</v>
      </c>
    </row>
    <row r="761" spans="1:3" x14ac:dyDescent="0.5">
      <c r="A761">
        <v>1959</v>
      </c>
      <c r="B761" s="1" t="s">
        <v>20</v>
      </c>
      <c r="C761">
        <v>3</v>
      </c>
    </row>
    <row r="762" spans="1:3" x14ac:dyDescent="0.5">
      <c r="A762">
        <v>1960</v>
      </c>
      <c r="B762" s="1" t="s">
        <v>20</v>
      </c>
      <c r="C762">
        <v>0</v>
      </c>
    </row>
    <row r="763" spans="1:3" x14ac:dyDescent="0.5">
      <c r="A763">
        <v>1961</v>
      </c>
      <c r="B763" s="1" t="s">
        <v>20</v>
      </c>
      <c r="C763">
        <v>11</v>
      </c>
    </row>
    <row r="764" spans="1:3" x14ac:dyDescent="0.5">
      <c r="A764">
        <v>1962</v>
      </c>
      <c r="B764" s="1" t="s">
        <v>20</v>
      </c>
      <c r="C764">
        <v>5</v>
      </c>
    </row>
    <row r="765" spans="1:3" x14ac:dyDescent="0.5">
      <c r="A765">
        <v>1963</v>
      </c>
      <c r="B765" s="1" t="s">
        <v>20</v>
      </c>
      <c r="C765">
        <v>3</v>
      </c>
    </row>
    <row r="766" spans="1:3" x14ac:dyDescent="0.5">
      <c r="A766">
        <v>1964</v>
      </c>
      <c r="B766" s="1" t="s">
        <v>20</v>
      </c>
      <c r="C766">
        <v>-9</v>
      </c>
    </row>
    <row r="767" spans="1:3" x14ac:dyDescent="0.5">
      <c r="A767">
        <v>1965</v>
      </c>
      <c r="B767" s="1" t="s">
        <v>20</v>
      </c>
      <c r="C767">
        <v>-10</v>
      </c>
    </row>
    <row r="768" spans="1:3" x14ac:dyDescent="0.5">
      <c r="A768">
        <v>1966</v>
      </c>
      <c r="B768" s="1" t="s">
        <v>20</v>
      </c>
      <c r="C768">
        <v>3</v>
      </c>
    </row>
    <row r="769" spans="1:3" x14ac:dyDescent="0.5">
      <c r="A769">
        <v>1967</v>
      </c>
      <c r="B769" s="1" t="s">
        <v>20</v>
      </c>
      <c r="C769">
        <v>-8</v>
      </c>
    </row>
    <row r="770" spans="1:3" x14ac:dyDescent="0.5">
      <c r="A770">
        <v>1968</v>
      </c>
      <c r="B770" s="1" t="s">
        <v>20</v>
      </c>
      <c r="C770">
        <v>-5</v>
      </c>
    </row>
    <row r="771" spans="1:3" x14ac:dyDescent="0.5">
      <c r="A771">
        <v>1969</v>
      </c>
      <c r="B771" s="1" t="s">
        <v>20</v>
      </c>
      <c r="C771">
        <v>4</v>
      </c>
    </row>
    <row r="772" spans="1:3" x14ac:dyDescent="0.5">
      <c r="A772">
        <v>1970</v>
      </c>
      <c r="B772" s="1" t="s">
        <v>20</v>
      </c>
      <c r="C772">
        <v>-1</v>
      </c>
    </row>
    <row r="773" spans="1:3" x14ac:dyDescent="0.5">
      <c r="A773">
        <v>1971</v>
      </c>
      <c r="B773" s="1" t="s">
        <v>20</v>
      </c>
      <c r="C773">
        <v>-18</v>
      </c>
    </row>
    <row r="774" spans="1:3" x14ac:dyDescent="0.5">
      <c r="A774">
        <v>1972</v>
      </c>
      <c r="B774" s="1" t="s">
        <v>20</v>
      </c>
      <c r="C774">
        <v>4</v>
      </c>
    </row>
    <row r="775" spans="1:3" x14ac:dyDescent="0.5">
      <c r="A775">
        <v>1973</v>
      </c>
      <c r="B775" s="1" t="s">
        <v>20</v>
      </c>
      <c r="C775">
        <v>16</v>
      </c>
    </row>
    <row r="776" spans="1:3" x14ac:dyDescent="0.5">
      <c r="A776">
        <v>1974</v>
      </c>
      <c r="B776" s="1" t="s">
        <v>20</v>
      </c>
      <c r="C776">
        <v>-5</v>
      </c>
    </row>
    <row r="777" spans="1:3" x14ac:dyDescent="0.5">
      <c r="A777">
        <v>1975</v>
      </c>
      <c r="B777" s="1" t="s">
        <v>20</v>
      </c>
      <c r="C777">
        <v>0</v>
      </c>
    </row>
    <row r="778" spans="1:3" x14ac:dyDescent="0.5">
      <c r="A778">
        <v>1976</v>
      </c>
      <c r="B778" s="1" t="s">
        <v>20</v>
      </c>
      <c r="C778">
        <v>-15</v>
      </c>
    </row>
    <row r="779" spans="1:3" x14ac:dyDescent="0.5">
      <c r="A779">
        <v>1977</v>
      </c>
      <c r="B779" s="1" t="s">
        <v>20</v>
      </c>
      <c r="C779">
        <v>25</v>
      </c>
    </row>
    <row r="780" spans="1:3" x14ac:dyDescent="0.5">
      <c r="A780">
        <v>1978</v>
      </c>
      <c r="B780" s="1" t="s">
        <v>20</v>
      </c>
      <c r="C780">
        <v>-2</v>
      </c>
    </row>
    <row r="781" spans="1:3" x14ac:dyDescent="0.5">
      <c r="A781">
        <v>1979</v>
      </c>
      <c r="B781" s="1" t="s">
        <v>20</v>
      </c>
      <c r="C781">
        <v>14</v>
      </c>
    </row>
    <row r="782" spans="1:3" x14ac:dyDescent="0.5">
      <c r="A782">
        <v>1980</v>
      </c>
      <c r="B782" s="1" t="s">
        <v>20</v>
      </c>
      <c r="C782">
        <v>18</v>
      </c>
    </row>
    <row r="783" spans="1:3" x14ac:dyDescent="0.5">
      <c r="A783">
        <v>1981</v>
      </c>
      <c r="B783" s="1" t="s">
        <v>20</v>
      </c>
      <c r="C783">
        <v>31</v>
      </c>
    </row>
    <row r="784" spans="1:3" x14ac:dyDescent="0.5">
      <c r="A784">
        <v>1982</v>
      </c>
      <c r="B784" s="1" t="s">
        <v>20</v>
      </c>
      <c r="C784">
        <v>4</v>
      </c>
    </row>
    <row r="785" spans="1:3" x14ac:dyDescent="0.5">
      <c r="A785">
        <v>1983</v>
      </c>
      <c r="B785" s="1" t="s">
        <v>20</v>
      </c>
      <c r="C785">
        <v>19</v>
      </c>
    </row>
    <row r="786" spans="1:3" x14ac:dyDescent="0.5">
      <c r="A786">
        <v>1984</v>
      </c>
      <c r="B786" s="1" t="s">
        <v>20</v>
      </c>
      <c r="C786">
        <v>6</v>
      </c>
    </row>
    <row r="787" spans="1:3" x14ac:dyDescent="0.5">
      <c r="A787">
        <v>1985</v>
      </c>
      <c r="B787" s="1" t="s">
        <v>20</v>
      </c>
      <c r="C787">
        <v>17</v>
      </c>
    </row>
    <row r="788" spans="1:3" x14ac:dyDescent="0.5">
      <c r="A788">
        <v>1986</v>
      </c>
      <c r="B788" s="1" t="s">
        <v>20</v>
      </c>
      <c r="C788">
        <v>14</v>
      </c>
    </row>
    <row r="789" spans="1:3" x14ac:dyDescent="0.5">
      <c r="A789">
        <v>1987</v>
      </c>
      <c r="B789" s="1" t="s">
        <v>20</v>
      </c>
      <c r="C789">
        <v>36</v>
      </c>
    </row>
    <row r="790" spans="1:3" x14ac:dyDescent="0.5">
      <c r="A790">
        <v>1988</v>
      </c>
      <c r="B790" s="1" t="s">
        <v>20</v>
      </c>
      <c r="C790">
        <v>42</v>
      </c>
    </row>
    <row r="791" spans="1:3" x14ac:dyDescent="0.5">
      <c r="A791">
        <v>1989</v>
      </c>
      <c r="B791" s="1" t="s">
        <v>20</v>
      </c>
      <c r="C791">
        <v>15</v>
      </c>
    </row>
    <row r="792" spans="1:3" x14ac:dyDescent="0.5">
      <c r="A792">
        <v>1990</v>
      </c>
      <c r="B792" s="1" t="s">
        <v>20</v>
      </c>
      <c r="C792">
        <v>38</v>
      </c>
    </row>
    <row r="793" spans="1:3" x14ac:dyDescent="0.5">
      <c r="A793">
        <v>1991</v>
      </c>
      <c r="B793" s="1" t="s">
        <v>20</v>
      </c>
      <c r="C793">
        <v>54</v>
      </c>
    </row>
    <row r="794" spans="1:3" x14ac:dyDescent="0.5">
      <c r="A794">
        <v>1992</v>
      </c>
      <c r="B794" s="1" t="s">
        <v>20</v>
      </c>
      <c r="C794">
        <v>24</v>
      </c>
    </row>
    <row r="795" spans="1:3" x14ac:dyDescent="0.5">
      <c r="A795">
        <v>1993</v>
      </c>
      <c r="B795" s="1" t="s">
        <v>20</v>
      </c>
      <c r="C795">
        <v>23</v>
      </c>
    </row>
    <row r="796" spans="1:3" x14ac:dyDescent="0.5">
      <c r="A796">
        <v>1994</v>
      </c>
      <c r="B796" s="1" t="s">
        <v>20</v>
      </c>
      <c r="C796">
        <v>41</v>
      </c>
    </row>
    <row r="797" spans="1:3" x14ac:dyDescent="0.5">
      <c r="A797">
        <v>1995</v>
      </c>
      <c r="B797" s="1" t="s">
        <v>20</v>
      </c>
      <c r="C797">
        <v>44</v>
      </c>
    </row>
    <row r="798" spans="1:3" x14ac:dyDescent="0.5">
      <c r="A798">
        <v>1996</v>
      </c>
      <c r="B798" s="1" t="s">
        <v>20</v>
      </c>
      <c r="C798">
        <v>26</v>
      </c>
    </row>
    <row r="799" spans="1:3" x14ac:dyDescent="0.5">
      <c r="A799">
        <v>1997</v>
      </c>
      <c r="B799" s="1" t="s">
        <v>20</v>
      </c>
      <c r="C799">
        <v>54</v>
      </c>
    </row>
    <row r="800" spans="1:3" x14ac:dyDescent="0.5">
      <c r="A800">
        <v>1998</v>
      </c>
      <c r="B800" s="1" t="s">
        <v>20</v>
      </c>
      <c r="C800">
        <v>77</v>
      </c>
    </row>
    <row r="801" spans="1:3" x14ac:dyDescent="0.5">
      <c r="A801">
        <v>1999</v>
      </c>
      <c r="B801" s="1" t="s">
        <v>20</v>
      </c>
      <c r="C801">
        <v>37</v>
      </c>
    </row>
    <row r="802" spans="1:3" x14ac:dyDescent="0.5">
      <c r="A802">
        <v>2000</v>
      </c>
      <c r="B802" s="1" t="s">
        <v>20</v>
      </c>
      <c r="C802">
        <v>43</v>
      </c>
    </row>
    <row r="803" spans="1:3" x14ac:dyDescent="0.5">
      <c r="A803">
        <v>2001</v>
      </c>
      <c r="B803" s="1" t="s">
        <v>20</v>
      </c>
      <c r="C803">
        <v>54</v>
      </c>
    </row>
    <row r="804" spans="1:3" x14ac:dyDescent="0.5">
      <c r="A804">
        <v>2002</v>
      </c>
      <c r="B804" s="1" t="s">
        <v>20</v>
      </c>
      <c r="C804">
        <v>55</v>
      </c>
    </row>
    <row r="805" spans="1:3" x14ac:dyDescent="0.5">
      <c r="A805">
        <v>2003</v>
      </c>
      <c r="B805" s="1" t="s">
        <v>20</v>
      </c>
      <c r="C805">
        <v>48</v>
      </c>
    </row>
    <row r="806" spans="1:3" x14ac:dyDescent="0.5">
      <c r="A806">
        <v>2004</v>
      </c>
      <c r="B806" s="1" t="s">
        <v>20</v>
      </c>
      <c r="C806">
        <v>42</v>
      </c>
    </row>
    <row r="807" spans="1:3" x14ac:dyDescent="0.5">
      <c r="A807">
        <v>2005</v>
      </c>
      <c r="B807" s="1" t="s">
        <v>20</v>
      </c>
      <c r="C807">
        <v>66</v>
      </c>
    </row>
    <row r="808" spans="1:3" x14ac:dyDescent="0.5">
      <c r="A808">
        <v>2006</v>
      </c>
      <c r="B808" s="1" t="s">
        <v>20</v>
      </c>
      <c r="C808">
        <v>64</v>
      </c>
    </row>
    <row r="809" spans="1:3" x14ac:dyDescent="0.5">
      <c r="A809">
        <v>2007</v>
      </c>
      <c r="B809" s="1" t="s">
        <v>20</v>
      </c>
      <c r="C809">
        <v>59</v>
      </c>
    </row>
    <row r="810" spans="1:3" x14ac:dyDescent="0.5">
      <c r="A810">
        <v>2008</v>
      </c>
      <c r="B810" s="1" t="s">
        <v>20</v>
      </c>
      <c r="C810">
        <v>48</v>
      </c>
    </row>
    <row r="811" spans="1:3" x14ac:dyDescent="0.5">
      <c r="A811">
        <v>2009</v>
      </c>
      <c r="B811" s="1" t="s">
        <v>20</v>
      </c>
      <c r="C811">
        <v>67</v>
      </c>
    </row>
    <row r="812" spans="1:3" x14ac:dyDescent="0.5">
      <c r="A812">
        <v>2010</v>
      </c>
      <c r="B812" s="1" t="s">
        <v>20</v>
      </c>
      <c r="C812">
        <v>64</v>
      </c>
    </row>
    <row r="813" spans="1:3" x14ac:dyDescent="0.5">
      <c r="A813">
        <v>2011</v>
      </c>
      <c r="B813" s="1" t="s">
        <v>20</v>
      </c>
      <c r="C813">
        <v>59</v>
      </c>
    </row>
    <row r="814" spans="1:3" x14ac:dyDescent="0.5">
      <c r="A814">
        <v>2012</v>
      </c>
      <c r="B814" s="1" t="s">
        <v>20</v>
      </c>
      <c r="C814">
        <v>62</v>
      </c>
    </row>
    <row r="815" spans="1:3" x14ac:dyDescent="0.5">
      <c r="A815">
        <v>2013</v>
      </c>
      <c r="B815" s="1" t="s">
        <v>20</v>
      </c>
      <c r="C815">
        <v>65</v>
      </c>
    </row>
    <row r="816" spans="1:3" x14ac:dyDescent="0.5">
      <c r="A816">
        <v>2014</v>
      </c>
      <c r="B816" s="1" t="s">
        <v>20</v>
      </c>
      <c r="C816">
        <v>66</v>
      </c>
    </row>
    <row r="817" spans="1:3" x14ac:dyDescent="0.5">
      <c r="A817">
        <v>2015</v>
      </c>
      <c r="B817" s="1" t="s">
        <v>20</v>
      </c>
      <c r="C817">
        <v>80</v>
      </c>
    </row>
    <row r="818" spans="1:3" x14ac:dyDescent="0.5">
      <c r="A818">
        <v>1880</v>
      </c>
      <c r="B818" s="1" t="s">
        <v>21</v>
      </c>
      <c r="C818">
        <v>-22</v>
      </c>
    </row>
    <row r="819" spans="1:3" x14ac:dyDescent="0.5">
      <c r="A819">
        <v>1881</v>
      </c>
      <c r="B819" s="1" t="s">
        <v>21</v>
      </c>
      <c r="C819">
        <v>-5</v>
      </c>
    </row>
    <row r="820" spans="1:3" x14ac:dyDescent="0.5">
      <c r="A820">
        <v>1882</v>
      </c>
      <c r="B820" s="1" t="s">
        <v>21</v>
      </c>
      <c r="C820">
        <v>-9</v>
      </c>
    </row>
    <row r="821" spans="1:3" x14ac:dyDescent="0.5">
      <c r="A821">
        <v>1883</v>
      </c>
      <c r="B821" s="1" t="s">
        <v>21</v>
      </c>
      <c r="C821">
        <v>-7</v>
      </c>
    </row>
    <row r="822" spans="1:3" x14ac:dyDescent="0.5">
      <c r="A822">
        <v>1884</v>
      </c>
      <c r="B822" s="1" t="s">
        <v>21</v>
      </c>
      <c r="C822">
        <v>-33</v>
      </c>
    </row>
    <row r="823" spans="1:3" x14ac:dyDescent="0.5">
      <c r="A823">
        <v>1885</v>
      </c>
      <c r="B823" s="1" t="s">
        <v>21</v>
      </c>
      <c r="C823">
        <v>-28</v>
      </c>
    </row>
    <row r="824" spans="1:3" x14ac:dyDescent="0.5">
      <c r="A824">
        <v>1886</v>
      </c>
      <c r="B824" s="1" t="s">
        <v>21</v>
      </c>
      <c r="C824">
        <v>-15</v>
      </c>
    </row>
    <row r="825" spans="1:3" x14ac:dyDescent="0.5">
      <c r="A825">
        <v>1887</v>
      </c>
      <c r="B825" s="1" t="s">
        <v>21</v>
      </c>
      <c r="C825">
        <v>-18</v>
      </c>
    </row>
    <row r="826" spans="1:3" x14ac:dyDescent="0.5">
      <c r="A826">
        <v>1888</v>
      </c>
      <c r="B826" s="1" t="s">
        <v>21</v>
      </c>
      <c r="C826">
        <v>-8</v>
      </c>
    </row>
    <row r="827" spans="1:3" x14ac:dyDescent="0.5">
      <c r="A827">
        <v>1889</v>
      </c>
      <c r="B827" s="1" t="s">
        <v>21</v>
      </c>
      <c r="C827">
        <v>-5</v>
      </c>
    </row>
    <row r="828" spans="1:3" x14ac:dyDescent="0.5">
      <c r="A828">
        <v>1890</v>
      </c>
      <c r="B828" s="1" t="s">
        <v>21</v>
      </c>
      <c r="C828">
        <v>-29</v>
      </c>
    </row>
    <row r="829" spans="1:3" x14ac:dyDescent="0.5">
      <c r="A829">
        <v>1891</v>
      </c>
      <c r="B829" s="1" t="s">
        <v>21</v>
      </c>
      <c r="C829">
        <v>-21</v>
      </c>
    </row>
    <row r="830" spans="1:3" x14ac:dyDescent="0.5">
      <c r="A830">
        <v>1892</v>
      </c>
      <c r="B830" s="1" t="s">
        <v>21</v>
      </c>
      <c r="C830">
        <v>-26</v>
      </c>
    </row>
    <row r="831" spans="1:3" x14ac:dyDescent="0.5">
      <c r="A831">
        <v>1893</v>
      </c>
      <c r="B831" s="1" t="s">
        <v>21</v>
      </c>
      <c r="C831">
        <v>-12</v>
      </c>
    </row>
    <row r="832" spans="1:3" x14ac:dyDescent="0.5">
      <c r="A832">
        <v>1894</v>
      </c>
      <c r="B832" s="1" t="s">
        <v>21</v>
      </c>
      <c r="C832">
        <v>-31</v>
      </c>
    </row>
    <row r="833" spans="1:3" x14ac:dyDescent="0.5">
      <c r="A833">
        <v>1895</v>
      </c>
      <c r="B833" s="1" t="s">
        <v>21</v>
      </c>
      <c r="C833">
        <v>-16</v>
      </c>
    </row>
    <row r="834" spans="1:3" x14ac:dyDescent="0.5">
      <c r="A834">
        <v>1896</v>
      </c>
      <c r="B834" s="1" t="s">
        <v>21</v>
      </c>
      <c r="C834">
        <v>-5</v>
      </c>
    </row>
    <row r="835" spans="1:3" x14ac:dyDescent="0.5">
      <c r="A835">
        <v>1897</v>
      </c>
      <c r="B835" s="1" t="s">
        <v>21</v>
      </c>
      <c r="C835">
        <v>-4</v>
      </c>
    </row>
    <row r="836" spans="1:3" x14ac:dyDescent="0.5">
      <c r="A836">
        <v>1898</v>
      </c>
      <c r="B836" s="1" t="s">
        <v>21</v>
      </c>
      <c r="C836">
        <v>-23</v>
      </c>
    </row>
    <row r="837" spans="1:3" x14ac:dyDescent="0.5">
      <c r="A837">
        <v>1899</v>
      </c>
      <c r="B837" s="1" t="s">
        <v>21</v>
      </c>
      <c r="C837">
        <v>-13</v>
      </c>
    </row>
    <row r="838" spans="1:3" x14ac:dyDescent="0.5">
      <c r="A838">
        <v>1900</v>
      </c>
      <c r="B838" s="1" t="s">
        <v>21</v>
      </c>
      <c r="C838">
        <v>-6</v>
      </c>
    </row>
    <row r="839" spans="1:3" x14ac:dyDescent="0.5">
      <c r="A839">
        <v>1901</v>
      </c>
      <c r="B839" s="1" t="s">
        <v>21</v>
      </c>
      <c r="C839">
        <v>-7</v>
      </c>
    </row>
    <row r="840" spans="1:3" x14ac:dyDescent="0.5">
      <c r="A840">
        <v>1902</v>
      </c>
      <c r="B840" s="1" t="s">
        <v>21</v>
      </c>
      <c r="C840">
        <v>-25</v>
      </c>
    </row>
    <row r="841" spans="1:3" x14ac:dyDescent="0.5">
      <c r="A841">
        <v>1903</v>
      </c>
      <c r="B841" s="1" t="s">
        <v>21</v>
      </c>
      <c r="C841">
        <v>-29</v>
      </c>
    </row>
    <row r="842" spans="1:3" x14ac:dyDescent="0.5">
      <c r="A842">
        <v>1904</v>
      </c>
      <c r="B842" s="1" t="s">
        <v>21</v>
      </c>
      <c r="C842">
        <v>-47</v>
      </c>
    </row>
    <row r="843" spans="1:3" x14ac:dyDescent="0.5">
      <c r="A843">
        <v>1905</v>
      </c>
      <c r="B843" s="1" t="s">
        <v>21</v>
      </c>
      <c r="C843">
        <v>-24</v>
      </c>
    </row>
    <row r="844" spans="1:3" x14ac:dyDescent="0.5">
      <c r="A844">
        <v>1906</v>
      </c>
      <c r="B844" s="1" t="s">
        <v>21</v>
      </c>
      <c r="C844">
        <v>-25</v>
      </c>
    </row>
    <row r="845" spans="1:3" x14ac:dyDescent="0.5">
      <c r="A845">
        <v>1907</v>
      </c>
      <c r="B845" s="1" t="s">
        <v>21</v>
      </c>
      <c r="C845">
        <v>-34</v>
      </c>
    </row>
    <row r="846" spans="1:3" x14ac:dyDescent="0.5">
      <c r="A846">
        <v>1908</v>
      </c>
      <c r="B846" s="1" t="s">
        <v>21</v>
      </c>
      <c r="C846">
        <v>-33</v>
      </c>
    </row>
    <row r="847" spans="1:3" x14ac:dyDescent="0.5">
      <c r="A847">
        <v>1909</v>
      </c>
      <c r="B847" s="1" t="s">
        <v>21</v>
      </c>
      <c r="C847">
        <v>-42</v>
      </c>
    </row>
    <row r="848" spans="1:3" x14ac:dyDescent="0.5">
      <c r="A848">
        <v>1910</v>
      </c>
      <c r="B848" s="1" t="s">
        <v>21</v>
      </c>
      <c r="C848">
        <v>-31</v>
      </c>
    </row>
    <row r="849" spans="1:3" x14ac:dyDescent="0.5">
      <c r="A849">
        <v>1911</v>
      </c>
      <c r="B849" s="1" t="s">
        <v>21</v>
      </c>
      <c r="C849">
        <v>-40</v>
      </c>
    </row>
    <row r="850" spans="1:3" x14ac:dyDescent="0.5">
      <c r="A850">
        <v>1912</v>
      </c>
      <c r="B850" s="1" t="s">
        <v>21</v>
      </c>
      <c r="C850">
        <v>-40</v>
      </c>
    </row>
    <row r="851" spans="1:3" x14ac:dyDescent="0.5">
      <c r="A851">
        <v>1913</v>
      </c>
      <c r="B851" s="1" t="s">
        <v>21</v>
      </c>
      <c r="C851">
        <v>-33</v>
      </c>
    </row>
    <row r="852" spans="1:3" x14ac:dyDescent="0.5">
      <c r="A852">
        <v>1914</v>
      </c>
      <c r="B852" s="1" t="s">
        <v>21</v>
      </c>
      <c r="C852">
        <v>-23</v>
      </c>
    </row>
    <row r="853" spans="1:3" x14ac:dyDescent="0.5">
      <c r="A853">
        <v>1915</v>
      </c>
      <c r="B853" s="1" t="s">
        <v>21</v>
      </c>
      <c r="C853">
        <v>-1</v>
      </c>
    </row>
    <row r="854" spans="1:3" x14ac:dyDescent="0.5">
      <c r="A854">
        <v>1916</v>
      </c>
      <c r="B854" s="1" t="s">
        <v>21</v>
      </c>
      <c r="C854">
        <v>-31</v>
      </c>
    </row>
    <row r="855" spans="1:3" x14ac:dyDescent="0.5">
      <c r="A855">
        <v>1917</v>
      </c>
      <c r="B855" s="1" t="s">
        <v>21</v>
      </c>
      <c r="C855">
        <v>-21</v>
      </c>
    </row>
    <row r="856" spans="1:3" x14ac:dyDescent="0.5">
      <c r="A856">
        <v>1918</v>
      </c>
      <c r="B856" s="1" t="s">
        <v>21</v>
      </c>
      <c r="C856">
        <v>-19</v>
      </c>
    </row>
    <row r="857" spans="1:3" x14ac:dyDescent="0.5">
      <c r="A857">
        <v>1919</v>
      </c>
      <c r="B857" s="1" t="s">
        <v>21</v>
      </c>
      <c r="C857">
        <v>-19</v>
      </c>
    </row>
    <row r="858" spans="1:3" x14ac:dyDescent="0.5">
      <c r="A858">
        <v>1920</v>
      </c>
      <c r="B858" s="1" t="s">
        <v>21</v>
      </c>
      <c r="C858">
        <v>-30</v>
      </c>
    </row>
    <row r="859" spans="1:3" x14ac:dyDescent="0.5">
      <c r="A859">
        <v>1921</v>
      </c>
      <c r="B859" s="1" t="s">
        <v>21</v>
      </c>
      <c r="C859">
        <v>-14</v>
      </c>
    </row>
    <row r="860" spans="1:3" x14ac:dyDescent="0.5">
      <c r="A860">
        <v>1922</v>
      </c>
      <c r="B860" s="1" t="s">
        <v>21</v>
      </c>
      <c r="C860">
        <v>-24</v>
      </c>
    </row>
    <row r="861" spans="1:3" x14ac:dyDescent="0.5">
      <c r="A861">
        <v>1923</v>
      </c>
      <c r="B861" s="1" t="s">
        <v>21</v>
      </c>
      <c r="C861">
        <v>-27</v>
      </c>
    </row>
    <row r="862" spans="1:3" x14ac:dyDescent="0.5">
      <c r="A862">
        <v>1924</v>
      </c>
      <c r="B862" s="1" t="s">
        <v>21</v>
      </c>
      <c r="C862">
        <v>-25</v>
      </c>
    </row>
    <row r="863" spans="1:3" x14ac:dyDescent="0.5">
      <c r="A863">
        <v>1925</v>
      </c>
      <c r="B863" s="1" t="s">
        <v>21</v>
      </c>
      <c r="C863">
        <v>-27</v>
      </c>
    </row>
    <row r="864" spans="1:3" x14ac:dyDescent="0.5">
      <c r="A864">
        <v>1926</v>
      </c>
      <c r="B864" s="1" t="s">
        <v>21</v>
      </c>
      <c r="C864">
        <v>-19</v>
      </c>
    </row>
    <row r="865" spans="1:3" x14ac:dyDescent="0.5">
      <c r="A865">
        <v>1927</v>
      </c>
      <c r="B865" s="1" t="s">
        <v>21</v>
      </c>
      <c r="C865">
        <v>-13</v>
      </c>
    </row>
    <row r="866" spans="1:3" x14ac:dyDescent="0.5">
      <c r="A866">
        <v>1928</v>
      </c>
      <c r="B866" s="1" t="s">
        <v>21</v>
      </c>
      <c r="C866">
        <v>-19</v>
      </c>
    </row>
    <row r="867" spans="1:3" x14ac:dyDescent="0.5">
      <c r="A867">
        <v>1929</v>
      </c>
      <c r="B867" s="1" t="s">
        <v>21</v>
      </c>
      <c r="C867">
        <v>-32</v>
      </c>
    </row>
    <row r="868" spans="1:3" x14ac:dyDescent="0.5">
      <c r="A868">
        <v>1930</v>
      </c>
      <c r="B868" s="1" t="s">
        <v>21</v>
      </c>
      <c r="C868">
        <v>-14</v>
      </c>
    </row>
    <row r="869" spans="1:3" x14ac:dyDescent="0.5">
      <c r="A869">
        <v>1931</v>
      </c>
      <c r="B869" s="1" t="s">
        <v>21</v>
      </c>
      <c r="C869">
        <v>2</v>
      </c>
    </row>
    <row r="870" spans="1:3" x14ac:dyDescent="0.5">
      <c r="A870">
        <v>1932</v>
      </c>
      <c r="B870" s="1" t="s">
        <v>21</v>
      </c>
      <c r="C870">
        <v>-23</v>
      </c>
    </row>
    <row r="871" spans="1:3" x14ac:dyDescent="0.5">
      <c r="A871">
        <v>1933</v>
      </c>
      <c r="B871" s="1" t="s">
        <v>21</v>
      </c>
      <c r="C871">
        <v>-19</v>
      </c>
    </row>
    <row r="872" spans="1:3" x14ac:dyDescent="0.5">
      <c r="A872">
        <v>1934</v>
      </c>
      <c r="B872" s="1" t="s">
        <v>21</v>
      </c>
      <c r="C872">
        <v>-10</v>
      </c>
    </row>
    <row r="873" spans="1:3" x14ac:dyDescent="0.5">
      <c r="A873">
        <v>1935</v>
      </c>
      <c r="B873" s="1" t="s">
        <v>21</v>
      </c>
      <c r="C873">
        <v>-18</v>
      </c>
    </row>
    <row r="874" spans="1:3" x14ac:dyDescent="0.5">
      <c r="A874">
        <v>1936</v>
      </c>
      <c r="B874" s="1" t="s">
        <v>21</v>
      </c>
      <c r="C874">
        <v>-5</v>
      </c>
    </row>
    <row r="875" spans="1:3" x14ac:dyDescent="0.5">
      <c r="A875">
        <v>1937</v>
      </c>
      <c r="B875" s="1" t="s">
        <v>21</v>
      </c>
      <c r="C875">
        <v>-3</v>
      </c>
    </row>
    <row r="876" spans="1:3" x14ac:dyDescent="0.5">
      <c r="A876">
        <v>1938</v>
      </c>
      <c r="B876" s="1" t="s">
        <v>21</v>
      </c>
      <c r="C876">
        <v>-8</v>
      </c>
    </row>
    <row r="877" spans="1:3" x14ac:dyDescent="0.5">
      <c r="A877">
        <v>1939</v>
      </c>
      <c r="B877" s="1" t="s">
        <v>21</v>
      </c>
      <c r="C877">
        <v>-5</v>
      </c>
    </row>
    <row r="878" spans="1:3" x14ac:dyDescent="0.5">
      <c r="A878">
        <v>1940</v>
      </c>
      <c r="B878" s="1" t="s">
        <v>21</v>
      </c>
      <c r="C878">
        <v>11</v>
      </c>
    </row>
    <row r="879" spans="1:3" x14ac:dyDescent="0.5">
      <c r="A879">
        <v>1941</v>
      </c>
      <c r="B879" s="1" t="s">
        <v>21</v>
      </c>
      <c r="C879">
        <v>16</v>
      </c>
    </row>
    <row r="880" spans="1:3" x14ac:dyDescent="0.5">
      <c r="A880">
        <v>1942</v>
      </c>
      <c r="B880" s="1" t="s">
        <v>21</v>
      </c>
      <c r="C880">
        <v>3</v>
      </c>
    </row>
    <row r="881" spans="1:3" x14ac:dyDescent="0.5">
      <c r="A881">
        <v>1943</v>
      </c>
      <c r="B881" s="1" t="s">
        <v>21</v>
      </c>
      <c r="C881">
        <v>15</v>
      </c>
    </row>
    <row r="882" spans="1:3" x14ac:dyDescent="0.5">
      <c r="A882">
        <v>1944</v>
      </c>
      <c r="B882" s="1" t="s">
        <v>21</v>
      </c>
      <c r="C882">
        <v>23</v>
      </c>
    </row>
    <row r="883" spans="1:3" x14ac:dyDescent="0.5">
      <c r="A883">
        <v>1945</v>
      </c>
      <c r="B883" s="1" t="s">
        <v>21</v>
      </c>
      <c r="C883">
        <v>8</v>
      </c>
    </row>
    <row r="884" spans="1:3" x14ac:dyDescent="0.5">
      <c r="A884">
        <v>1946</v>
      </c>
      <c r="B884" s="1" t="s">
        <v>21</v>
      </c>
      <c r="C884">
        <v>-7</v>
      </c>
    </row>
    <row r="885" spans="1:3" x14ac:dyDescent="0.5">
      <c r="A885">
        <v>1947</v>
      </c>
      <c r="B885" s="1" t="s">
        <v>21</v>
      </c>
      <c r="C885">
        <v>-3</v>
      </c>
    </row>
    <row r="886" spans="1:3" x14ac:dyDescent="0.5">
      <c r="A886">
        <v>1948</v>
      </c>
      <c r="B886" s="1" t="s">
        <v>21</v>
      </c>
      <c r="C886">
        <v>-13</v>
      </c>
    </row>
    <row r="887" spans="1:3" x14ac:dyDescent="0.5">
      <c r="A887">
        <v>1949</v>
      </c>
      <c r="B887" s="1" t="s">
        <v>21</v>
      </c>
      <c r="C887">
        <v>-13</v>
      </c>
    </row>
    <row r="888" spans="1:3" x14ac:dyDescent="0.5">
      <c r="A888">
        <v>1950</v>
      </c>
      <c r="B888" s="1" t="s">
        <v>21</v>
      </c>
      <c r="C888">
        <v>-9</v>
      </c>
    </row>
    <row r="889" spans="1:3" x14ac:dyDescent="0.5">
      <c r="A889">
        <v>1951</v>
      </c>
      <c r="B889" s="1" t="s">
        <v>21</v>
      </c>
      <c r="C889">
        <v>-2</v>
      </c>
    </row>
    <row r="890" spans="1:3" x14ac:dyDescent="0.5">
      <c r="A890">
        <v>1952</v>
      </c>
      <c r="B890" s="1" t="s">
        <v>21</v>
      </c>
      <c r="C890">
        <v>6</v>
      </c>
    </row>
    <row r="891" spans="1:3" x14ac:dyDescent="0.5">
      <c r="A891">
        <v>1953</v>
      </c>
      <c r="B891" s="1" t="s">
        <v>21</v>
      </c>
      <c r="C891">
        <v>3</v>
      </c>
    </row>
    <row r="892" spans="1:3" x14ac:dyDescent="0.5">
      <c r="A892">
        <v>1954</v>
      </c>
      <c r="B892" s="1" t="s">
        <v>21</v>
      </c>
      <c r="C892">
        <v>-16</v>
      </c>
    </row>
    <row r="893" spans="1:3" x14ac:dyDescent="0.5">
      <c r="A893">
        <v>1955</v>
      </c>
      <c r="B893" s="1" t="s">
        <v>21</v>
      </c>
      <c r="C893">
        <v>-7</v>
      </c>
    </row>
    <row r="894" spans="1:3" x14ac:dyDescent="0.5">
      <c r="A894">
        <v>1956</v>
      </c>
      <c r="B894" s="1" t="s">
        <v>21</v>
      </c>
      <c r="C894">
        <v>-11</v>
      </c>
    </row>
    <row r="895" spans="1:3" x14ac:dyDescent="0.5">
      <c r="A895">
        <v>1957</v>
      </c>
      <c r="B895" s="1" t="s">
        <v>21</v>
      </c>
      <c r="C895">
        <v>0</v>
      </c>
    </row>
    <row r="896" spans="1:3" x14ac:dyDescent="0.5">
      <c r="A896">
        <v>1958</v>
      </c>
      <c r="B896" s="1" t="s">
        <v>21</v>
      </c>
      <c r="C896">
        <v>3</v>
      </c>
    </row>
    <row r="897" spans="1:3" x14ac:dyDescent="0.5">
      <c r="A897">
        <v>1959</v>
      </c>
      <c r="B897" s="1" t="s">
        <v>21</v>
      </c>
      <c r="C897">
        <v>5</v>
      </c>
    </row>
    <row r="898" spans="1:3" x14ac:dyDescent="0.5">
      <c r="A898">
        <v>1960</v>
      </c>
      <c r="B898" s="1" t="s">
        <v>21</v>
      </c>
      <c r="C898">
        <v>-3</v>
      </c>
    </row>
    <row r="899" spans="1:3" x14ac:dyDescent="0.5">
      <c r="A899">
        <v>1961</v>
      </c>
      <c r="B899" s="1" t="s">
        <v>21</v>
      </c>
      <c r="C899">
        <v>-4</v>
      </c>
    </row>
    <row r="900" spans="1:3" x14ac:dyDescent="0.5">
      <c r="A900">
        <v>1962</v>
      </c>
      <c r="B900" s="1" t="s">
        <v>21</v>
      </c>
      <c r="C900">
        <v>-2</v>
      </c>
    </row>
    <row r="901" spans="1:3" x14ac:dyDescent="0.5">
      <c r="A901">
        <v>1963</v>
      </c>
      <c r="B901" s="1" t="s">
        <v>21</v>
      </c>
      <c r="C901">
        <v>9</v>
      </c>
    </row>
    <row r="902" spans="1:3" x14ac:dyDescent="0.5">
      <c r="A902">
        <v>1964</v>
      </c>
      <c r="B902" s="1" t="s">
        <v>21</v>
      </c>
      <c r="C902">
        <v>-7</v>
      </c>
    </row>
    <row r="903" spans="1:3" x14ac:dyDescent="0.5">
      <c r="A903">
        <v>1965</v>
      </c>
      <c r="B903" s="1" t="s">
        <v>21</v>
      </c>
      <c r="C903">
        <v>-10</v>
      </c>
    </row>
    <row r="904" spans="1:3" x14ac:dyDescent="0.5">
      <c r="A904">
        <v>1966</v>
      </c>
      <c r="B904" s="1" t="s">
        <v>21</v>
      </c>
      <c r="C904">
        <v>8</v>
      </c>
    </row>
    <row r="905" spans="1:3" x14ac:dyDescent="0.5">
      <c r="A905">
        <v>1967</v>
      </c>
      <c r="B905" s="1" t="s">
        <v>21</v>
      </c>
      <c r="C905">
        <v>-1</v>
      </c>
    </row>
    <row r="906" spans="1:3" x14ac:dyDescent="0.5">
      <c r="A906">
        <v>1968</v>
      </c>
      <c r="B906" s="1" t="s">
        <v>21</v>
      </c>
      <c r="C906">
        <v>-10</v>
      </c>
    </row>
    <row r="907" spans="1:3" x14ac:dyDescent="0.5">
      <c r="A907">
        <v>1969</v>
      </c>
      <c r="B907" s="1" t="s">
        <v>21</v>
      </c>
      <c r="C907">
        <v>-2</v>
      </c>
    </row>
    <row r="908" spans="1:3" x14ac:dyDescent="0.5">
      <c r="A908">
        <v>1970</v>
      </c>
      <c r="B908" s="1" t="s">
        <v>21</v>
      </c>
      <c r="C908">
        <v>-4</v>
      </c>
    </row>
    <row r="909" spans="1:3" x14ac:dyDescent="0.5">
      <c r="A909">
        <v>1971</v>
      </c>
      <c r="B909" s="1" t="s">
        <v>21</v>
      </c>
      <c r="C909">
        <v>-13</v>
      </c>
    </row>
    <row r="910" spans="1:3" x14ac:dyDescent="0.5">
      <c r="A910">
        <v>1972</v>
      </c>
      <c r="B910" s="1" t="s">
        <v>21</v>
      </c>
      <c r="C910">
        <v>2</v>
      </c>
    </row>
    <row r="911" spans="1:3" x14ac:dyDescent="0.5">
      <c r="A911">
        <v>1973</v>
      </c>
      <c r="B911" s="1" t="s">
        <v>21</v>
      </c>
      <c r="C911">
        <v>9</v>
      </c>
    </row>
    <row r="912" spans="1:3" x14ac:dyDescent="0.5">
      <c r="A912">
        <v>1974</v>
      </c>
      <c r="B912" s="1" t="s">
        <v>21</v>
      </c>
      <c r="C912">
        <v>-3</v>
      </c>
    </row>
    <row r="913" spans="1:3" x14ac:dyDescent="0.5">
      <c r="A913">
        <v>1975</v>
      </c>
      <c r="B913" s="1" t="s">
        <v>21</v>
      </c>
      <c r="C913">
        <v>-2</v>
      </c>
    </row>
    <row r="914" spans="1:3" x14ac:dyDescent="0.5">
      <c r="A914">
        <v>1976</v>
      </c>
      <c r="B914" s="1" t="s">
        <v>21</v>
      </c>
      <c r="C914">
        <v>-10</v>
      </c>
    </row>
    <row r="915" spans="1:3" x14ac:dyDescent="0.5">
      <c r="A915">
        <v>1977</v>
      </c>
      <c r="B915" s="1" t="s">
        <v>21</v>
      </c>
      <c r="C915">
        <v>23</v>
      </c>
    </row>
    <row r="916" spans="1:3" x14ac:dyDescent="0.5">
      <c r="A916">
        <v>1978</v>
      </c>
      <c r="B916" s="1" t="s">
        <v>21</v>
      </c>
      <c r="C916">
        <v>7</v>
      </c>
    </row>
    <row r="917" spans="1:3" x14ac:dyDescent="0.5">
      <c r="A917">
        <v>1979</v>
      </c>
      <c r="B917" s="1" t="s">
        <v>21</v>
      </c>
      <c r="C917">
        <v>2</v>
      </c>
    </row>
    <row r="918" spans="1:3" x14ac:dyDescent="0.5">
      <c r="A918">
        <v>1980</v>
      </c>
      <c r="B918" s="1" t="s">
        <v>21</v>
      </c>
      <c r="C918">
        <v>28</v>
      </c>
    </row>
    <row r="919" spans="1:3" x14ac:dyDescent="0.5">
      <c r="A919">
        <v>1981</v>
      </c>
      <c r="B919" s="1" t="s">
        <v>21</v>
      </c>
      <c r="C919">
        <v>35</v>
      </c>
    </row>
    <row r="920" spans="1:3" x14ac:dyDescent="0.5">
      <c r="A920">
        <v>1982</v>
      </c>
      <c r="B920" s="1" t="s">
        <v>21</v>
      </c>
      <c r="C920">
        <v>13</v>
      </c>
    </row>
    <row r="921" spans="1:3" x14ac:dyDescent="0.5">
      <c r="A921">
        <v>1983</v>
      </c>
      <c r="B921" s="1" t="s">
        <v>21</v>
      </c>
      <c r="C921">
        <v>15</v>
      </c>
    </row>
    <row r="922" spans="1:3" x14ac:dyDescent="0.5">
      <c r="A922">
        <v>1984</v>
      </c>
      <c r="B922" s="1" t="s">
        <v>21</v>
      </c>
      <c r="C922">
        <v>15</v>
      </c>
    </row>
    <row r="923" spans="1:3" x14ac:dyDescent="0.5">
      <c r="A923">
        <v>1985</v>
      </c>
      <c r="B923" s="1" t="s">
        <v>21</v>
      </c>
      <c r="C923">
        <v>2</v>
      </c>
    </row>
    <row r="924" spans="1:3" x14ac:dyDescent="0.5">
      <c r="A924">
        <v>1986</v>
      </c>
      <c r="B924" s="1" t="s">
        <v>21</v>
      </c>
      <c r="C924">
        <v>13</v>
      </c>
    </row>
    <row r="925" spans="1:3" x14ac:dyDescent="0.5">
      <c r="A925">
        <v>1987</v>
      </c>
      <c r="B925" s="1" t="s">
        <v>21</v>
      </c>
      <c r="C925">
        <v>47</v>
      </c>
    </row>
    <row r="926" spans="1:3" x14ac:dyDescent="0.5">
      <c r="A926">
        <v>1988</v>
      </c>
      <c r="B926" s="1" t="s">
        <v>21</v>
      </c>
      <c r="C926">
        <v>35</v>
      </c>
    </row>
    <row r="927" spans="1:3" x14ac:dyDescent="0.5">
      <c r="A927">
        <v>1989</v>
      </c>
      <c r="B927" s="1" t="s">
        <v>21</v>
      </c>
      <c r="C927">
        <v>33</v>
      </c>
    </row>
    <row r="928" spans="1:3" x14ac:dyDescent="0.5">
      <c r="A928">
        <v>1990</v>
      </c>
      <c r="B928" s="1" t="s">
        <v>21</v>
      </c>
      <c r="C928">
        <v>43</v>
      </c>
    </row>
    <row r="929" spans="1:3" x14ac:dyDescent="0.5">
      <c r="A929">
        <v>1991</v>
      </c>
      <c r="B929" s="1" t="s">
        <v>21</v>
      </c>
      <c r="C929">
        <v>51</v>
      </c>
    </row>
    <row r="930" spans="1:3" x14ac:dyDescent="0.5">
      <c r="A930">
        <v>1992</v>
      </c>
      <c r="B930" s="1" t="s">
        <v>21</v>
      </c>
      <c r="C930">
        <v>13</v>
      </c>
    </row>
    <row r="931" spans="1:3" x14ac:dyDescent="0.5">
      <c r="A931">
        <v>1993</v>
      </c>
      <c r="B931" s="1" t="s">
        <v>21</v>
      </c>
      <c r="C931">
        <v>27</v>
      </c>
    </row>
    <row r="932" spans="1:3" x14ac:dyDescent="0.5">
      <c r="A932">
        <v>1994</v>
      </c>
      <c r="B932" s="1" t="s">
        <v>21</v>
      </c>
      <c r="C932">
        <v>31</v>
      </c>
    </row>
    <row r="933" spans="1:3" x14ac:dyDescent="0.5">
      <c r="A933">
        <v>1995</v>
      </c>
      <c r="B933" s="1" t="s">
        <v>21</v>
      </c>
      <c r="C933">
        <v>49</v>
      </c>
    </row>
    <row r="934" spans="1:3" x14ac:dyDescent="0.5">
      <c r="A934">
        <v>1996</v>
      </c>
      <c r="B934" s="1" t="s">
        <v>21</v>
      </c>
      <c r="C934">
        <v>35</v>
      </c>
    </row>
    <row r="935" spans="1:3" x14ac:dyDescent="0.5">
      <c r="A935">
        <v>1997</v>
      </c>
      <c r="B935" s="1" t="s">
        <v>21</v>
      </c>
      <c r="C935">
        <v>37</v>
      </c>
    </row>
    <row r="936" spans="1:3" x14ac:dyDescent="0.5">
      <c r="A936">
        <v>1998</v>
      </c>
      <c r="B936" s="1" t="s">
        <v>21</v>
      </c>
      <c r="C936">
        <v>70</v>
      </c>
    </row>
    <row r="937" spans="1:3" x14ac:dyDescent="0.5">
      <c r="A937">
        <v>1999</v>
      </c>
      <c r="B937" s="1" t="s">
        <v>21</v>
      </c>
      <c r="C937">
        <v>41</v>
      </c>
    </row>
    <row r="938" spans="1:3" x14ac:dyDescent="0.5">
      <c r="A938">
        <v>2000</v>
      </c>
      <c r="B938" s="1" t="s">
        <v>21</v>
      </c>
      <c r="C938">
        <v>42</v>
      </c>
    </row>
    <row r="939" spans="1:3" x14ac:dyDescent="0.5">
      <c r="A939">
        <v>2001</v>
      </c>
      <c r="B939" s="1" t="s">
        <v>21</v>
      </c>
      <c r="C939">
        <v>60</v>
      </c>
    </row>
    <row r="940" spans="1:3" x14ac:dyDescent="0.5">
      <c r="A940">
        <v>2002</v>
      </c>
      <c r="B940" s="1" t="s">
        <v>21</v>
      </c>
      <c r="C940">
        <v>61</v>
      </c>
    </row>
    <row r="941" spans="1:3" x14ac:dyDescent="0.5">
      <c r="A941">
        <v>2003</v>
      </c>
      <c r="B941" s="1" t="s">
        <v>21</v>
      </c>
      <c r="C941">
        <v>55</v>
      </c>
    </row>
    <row r="942" spans="1:3" x14ac:dyDescent="0.5">
      <c r="A942">
        <v>2004</v>
      </c>
      <c r="B942" s="1" t="s">
        <v>21</v>
      </c>
      <c r="C942">
        <v>27</v>
      </c>
    </row>
    <row r="943" spans="1:3" x14ac:dyDescent="0.5">
      <c r="A943">
        <v>2005</v>
      </c>
      <c r="B943" s="1" t="s">
        <v>21</v>
      </c>
      <c r="C943">
        <v>66</v>
      </c>
    </row>
    <row r="944" spans="1:3" x14ac:dyDescent="0.5">
      <c r="A944">
        <v>2006</v>
      </c>
      <c r="B944" s="1" t="s">
        <v>21</v>
      </c>
      <c r="C944">
        <v>55</v>
      </c>
    </row>
    <row r="945" spans="1:3" x14ac:dyDescent="0.5">
      <c r="A945">
        <v>2007</v>
      </c>
      <c r="B945" s="1" t="s">
        <v>21</v>
      </c>
      <c r="C945">
        <v>62</v>
      </c>
    </row>
    <row r="946" spans="1:3" x14ac:dyDescent="0.5">
      <c r="A946">
        <v>2008</v>
      </c>
      <c r="B946" s="1" t="s">
        <v>21</v>
      </c>
      <c r="C946">
        <v>60</v>
      </c>
    </row>
    <row r="947" spans="1:3" x14ac:dyDescent="0.5">
      <c r="A947">
        <v>2009</v>
      </c>
      <c r="B947" s="1" t="s">
        <v>21</v>
      </c>
      <c r="C947">
        <v>73</v>
      </c>
    </row>
    <row r="948" spans="1:3" x14ac:dyDescent="0.5">
      <c r="A948">
        <v>2010</v>
      </c>
      <c r="B948" s="1" t="s">
        <v>21</v>
      </c>
      <c r="C948">
        <v>61</v>
      </c>
    </row>
    <row r="949" spans="1:3" x14ac:dyDescent="0.5">
      <c r="A949">
        <v>2011</v>
      </c>
      <c r="B949" s="1" t="s">
        <v>21</v>
      </c>
      <c r="C949">
        <v>74</v>
      </c>
    </row>
    <row r="950" spans="1:3" x14ac:dyDescent="0.5">
      <c r="A950">
        <v>2012</v>
      </c>
      <c r="B950" s="1" t="s">
        <v>21</v>
      </c>
      <c r="C950">
        <v>56</v>
      </c>
    </row>
    <row r="951" spans="1:3" x14ac:dyDescent="0.5">
      <c r="A951">
        <v>2013</v>
      </c>
      <c r="B951" s="1" t="s">
        <v>21</v>
      </c>
      <c r="C951">
        <v>59</v>
      </c>
    </row>
    <row r="952" spans="1:3" x14ac:dyDescent="0.5">
      <c r="A952">
        <v>2014</v>
      </c>
      <c r="B952" s="1" t="s">
        <v>21</v>
      </c>
      <c r="C952">
        <v>58</v>
      </c>
    </row>
    <row r="953" spans="1:3" x14ac:dyDescent="0.5">
      <c r="A953">
        <v>2015</v>
      </c>
      <c r="B953" s="1" t="s">
        <v>21</v>
      </c>
    </row>
    <row r="954" spans="1:3" x14ac:dyDescent="0.5">
      <c r="A954">
        <v>1880</v>
      </c>
      <c r="B954" s="1" t="s">
        <v>22</v>
      </c>
      <c r="C954">
        <v>-6</v>
      </c>
    </row>
    <row r="955" spans="1:3" x14ac:dyDescent="0.5">
      <c r="A955">
        <v>1881</v>
      </c>
      <c r="B955" s="1" t="s">
        <v>22</v>
      </c>
      <c r="C955">
        <v>-1</v>
      </c>
    </row>
    <row r="956" spans="1:3" x14ac:dyDescent="0.5">
      <c r="A956">
        <v>1882</v>
      </c>
      <c r="B956" s="1" t="s">
        <v>22</v>
      </c>
      <c r="C956">
        <v>5</v>
      </c>
    </row>
    <row r="957" spans="1:3" x14ac:dyDescent="0.5">
      <c r="A957">
        <v>1883</v>
      </c>
      <c r="B957" s="1" t="s">
        <v>22</v>
      </c>
      <c r="C957">
        <v>-12</v>
      </c>
    </row>
    <row r="958" spans="1:3" x14ac:dyDescent="0.5">
      <c r="A958">
        <v>1884</v>
      </c>
      <c r="B958" s="1" t="s">
        <v>22</v>
      </c>
      <c r="C958">
        <v>-25</v>
      </c>
    </row>
    <row r="959" spans="1:3" x14ac:dyDescent="0.5">
      <c r="A959">
        <v>1885</v>
      </c>
      <c r="B959" s="1" t="s">
        <v>22</v>
      </c>
      <c r="C959">
        <v>-27</v>
      </c>
    </row>
    <row r="960" spans="1:3" x14ac:dyDescent="0.5">
      <c r="A960">
        <v>1886</v>
      </c>
      <c r="B960" s="1" t="s">
        <v>22</v>
      </c>
      <c r="C960">
        <v>-31</v>
      </c>
    </row>
    <row r="961" spans="1:3" x14ac:dyDescent="0.5">
      <c r="A961">
        <v>1887</v>
      </c>
      <c r="B961" s="1" t="s">
        <v>22</v>
      </c>
      <c r="C961">
        <v>-27</v>
      </c>
    </row>
    <row r="962" spans="1:3" x14ac:dyDescent="0.5">
      <c r="A962">
        <v>1888</v>
      </c>
      <c r="B962" s="1" t="s">
        <v>22</v>
      </c>
      <c r="C962">
        <v>-10</v>
      </c>
    </row>
    <row r="963" spans="1:3" x14ac:dyDescent="0.5">
      <c r="A963">
        <v>1889</v>
      </c>
      <c r="B963" s="1" t="s">
        <v>22</v>
      </c>
      <c r="C963">
        <v>-18</v>
      </c>
    </row>
    <row r="964" spans="1:3" x14ac:dyDescent="0.5">
      <c r="A964">
        <v>1890</v>
      </c>
      <c r="B964" s="1" t="s">
        <v>22</v>
      </c>
      <c r="C964">
        <v>-35</v>
      </c>
    </row>
    <row r="965" spans="1:3" x14ac:dyDescent="0.5">
      <c r="A965">
        <v>1891</v>
      </c>
      <c r="B965" s="1" t="s">
        <v>22</v>
      </c>
      <c r="C965">
        <v>-20</v>
      </c>
    </row>
    <row r="966" spans="1:3" x14ac:dyDescent="0.5">
      <c r="A966">
        <v>1892</v>
      </c>
      <c r="B966" s="1" t="s">
        <v>22</v>
      </c>
      <c r="C966">
        <v>-18</v>
      </c>
    </row>
    <row r="967" spans="1:3" x14ac:dyDescent="0.5">
      <c r="A967">
        <v>1893</v>
      </c>
      <c r="B967" s="1" t="s">
        <v>22</v>
      </c>
      <c r="C967">
        <v>-22</v>
      </c>
    </row>
    <row r="968" spans="1:3" x14ac:dyDescent="0.5">
      <c r="A968">
        <v>1894</v>
      </c>
      <c r="B968" s="1" t="s">
        <v>22</v>
      </c>
      <c r="C968">
        <v>-26</v>
      </c>
    </row>
    <row r="969" spans="1:3" x14ac:dyDescent="0.5">
      <c r="A969">
        <v>1895</v>
      </c>
      <c r="B969" s="1" t="s">
        <v>22</v>
      </c>
      <c r="C969">
        <v>-15</v>
      </c>
    </row>
    <row r="970" spans="1:3" x14ac:dyDescent="0.5">
      <c r="A970">
        <v>1896</v>
      </c>
      <c r="B970" s="1" t="s">
        <v>22</v>
      </c>
      <c r="C970">
        <v>-8</v>
      </c>
    </row>
    <row r="971" spans="1:3" x14ac:dyDescent="0.5">
      <c r="A971">
        <v>1897</v>
      </c>
      <c r="B971" s="1" t="s">
        <v>22</v>
      </c>
      <c r="C971">
        <v>-3</v>
      </c>
    </row>
    <row r="972" spans="1:3" x14ac:dyDescent="0.5">
      <c r="A972">
        <v>1898</v>
      </c>
      <c r="B972" s="1" t="s">
        <v>22</v>
      </c>
      <c r="C972">
        <v>-23</v>
      </c>
    </row>
    <row r="973" spans="1:3" x14ac:dyDescent="0.5">
      <c r="A973">
        <v>1899</v>
      </c>
      <c r="B973" s="1" t="s">
        <v>22</v>
      </c>
      <c r="C973">
        <v>-4</v>
      </c>
    </row>
    <row r="974" spans="1:3" x14ac:dyDescent="0.5">
      <c r="A974">
        <v>1900</v>
      </c>
      <c r="B974" s="1" t="s">
        <v>22</v>
      </c>
      <c r="C974">
        <v>-3</v>
      </c>
    </row>
    <row r="975" spans="1:3" x14ac:dyDescent="0.5">
      <c r="A975">
        <v>1901</v>
      </c>
      <c r="B975" s="1" t="s">
        <v>22</v>
      </c>
      <c r="C975">
        <v>-11</v>
      </c>
    </row>
    <row r="976" spans="1:3" x14ac:dyDescent="0.5">
      <c r="A976">
        <v>1902</v>
      </c>
      <c r="B976" s="1" t="s">
        <v>22</v>
      </c>
      <c r="C976">
        <v>-27</v>
      </c>
    </row>
    <row r="977" spans="1:3" x14ac:dyDescent="0.5">
      <c r="A977">
        <v>1903</v>
      </c>
      <c r="B977" s="1" t="s">
        <v>22</v>
      </c>
      <c r="C977">
        <v>-43</v>
      </c>
    </row>
    <row r="978" spans="1:3" x14ac:dyDescent="0.5">
      <c r="A978">
        <v>1904</v>
      </c>
      <c r="B978" s="1" t="s">
        <v>22</v>
      </c>
      <c r="C978">
        <v>-42</v>
      </c>
    </row>
    <row r="979" spans="1:3" x14ac:dyDescent="0.5">
      <c r="A979">
        <v>1905</v>
      </c>
      <c r="B979" s="1" t="s">
        <v>22</v>
      </c>
      <c r="C979">
        <v>-20</v>
      </c>
    </row>
    <row r="980" spans="1:3" x14ac:dyDescent="0.5">
      <c r="A980">
        <v>1906</v>
      </c>
      <c r="B980" s="1" t="s">
        <v>22</v>
      </c>
      <c r="C980">
        <v>-18</v>
      </c>
    </row>
    <row r="981" spans="1:3" x14ac:dyDescent="0.5">
      <c r="A981">
        <v>1907</v>
      </c>
      <c r="B981" s="1" t="s">
        <v>22</v>
      </c>
      <c r="C981">
        <v>-36</v>
      </c>
    </row>
    <row r="982" spans="1:3" x14ac:dyDescent="0.5">
      <c r="A982">
        <v>1908</v>
      </c>
      <c r="B982" s="1" t="s">
        <v>22</v>
      </c>
      <c r="C982">
        <v>-44</v>
      </c>
    </row>
    <row r="983" spans="1:3" x14ac:dyDescent="0.5">
      <c r="A983">
        <v>1909</v>
      </c>
      <c r="B983" s="1" t="s">
        <v>22</v>
      </c>
      <c r="C983">
        <v>-30</v>
      </c>
    </row>
    <row r="984" spans="1:3" x14ac:dyDescent="0.5">
      <c r="A984">
        <v>1910</v>
      </c>
      <c r="B984" s="1" t="s">
        <v>22</v>
      </c>
      <c r="C984">
        <v>-33</v>
      </c>
    </row>
    <row r="985" spans="1:3" x14ac:dyDescent="0.5">
      <c r="A985">
        <v>1911</v>
      </c>
      <c r="B985" s="1" t="s">
        <v>22</v>
      </c>
      <c r="C985">
        <v>-42</v>
      </c>
    </row>
    <row r="986" spans="1:3" x14ac:dyDescent="0.5">
      <c r="A986">
        <v>1912</v>
      </c>
      <c r="B986" s="1" t="s">
        <v>22</v>
      </c>
      <c r="C986">
        <v>-51</v>
      </c>
    </row>
    <row r="987" spans="1:3" x14ac:dyDescent="0.5">
      <c r="A987">
        <v>1913</v>
      </c>
      <c r="B987" s="1" t="s">
        <v>22</v>
      </c>
      <c r="C987">
        <v>-31</v>
      </c>
    </row>
    <row r="988" spans="1:3" x14ac:dyDescent="0.5">
      <c r="A988">
        <v>1914</v>
      </c>
      <c r="B988" s="1" t="s">
        <v>22</v>
      </c>
      <c r="C988">
        <v>-13</v>
      </c>
    </row>
    <row r="989" spans="1:3" x14ac:dyDescent="0.5">
      <c r="A989">
        <v>1915</v>
      </c>
      <c r="B989" s="1" t="s">
        <v>22</v>
      </c>
      <c r="C989">
        <v>-14</v>
      </c>
    </row>
    <row r="990" spans="1:3" x14ac:dyDescent="0.5">
      <c r="A990">
        <v>1916</v>
      </c>
      <c r="B990" s="1" t="s">
        <v>22</v>
      </c>
      <c r="C990">
        <v>-25</v>
      </c>
    </row>
    <row r="991" spans="1:3" x14ac:dyDescent="0.5">
      <c r="A991">
        <v>1917</v>
      </c>
      <c r="B991" s="1" t="s">
        <v>22</v>
      </c>
      <c r="C991">
        <v>-25</v>
      </c>
    </row>
    <row r="992" spans="1:3" x14ac:dyDescent="0.5">
      <c r="A992">
        <v>1918</v>
      </c>
      <c r="B992" s="1" t="s">
        <v>22</v>
      </c>
      <c r="C992">
        <v>-24</v>
      </c>
    </row>
    <row r="993" spans="1:3" x14ac:dyDescent="0.5">
      <c r="A993">
        <v>1919</v>
      </c>
      <c r="B993" s="1" t="s">
        <v>22</v>
      </c>
      <c r="C993">
        <v>-18</v>
      </c>
    </row>
    <row r="994" spans="1:3" x14ac:dyDescent="0.5">
      <c r="A994">
        <v>1920</v>
      </c>
      <c r="B994" s="1" t="s">
        <v>22</v>
      </c>
      <c r="C994">
        <v>-27</v>
      </c>
    </row>
    <row r="995" spans="1:3" x14ac:dyDescent="0.5">
      <c r="A995">
        <v>1921</v>
      </c>
      <c r="B995" s="1" t="s">
        <v>22</v>
      </c>
      <c r="C995">
        <v>-22</v>
      </c>
    </row>
    <row r="996" spans="1:3" x14ac:dyDescent="0.5">
      <c r="A996">
        <v>1922</v>
      </c>
      <c r="B996" s="1" t="s">
        <v>22</v>
      </c>
      <c r="C996">
        <v>-29</v>
      </c>
    </row>
    <row r="997" spans="1:3" x14ac:dyDescent="0.5">
      <c r="A997">
        <v>1923</v>
      </c>
      <c r="B997" s="1" t="s">
        <v>22</v>
      </c>
      <c r="C997">
        <v>-28</v>
      </c>
    </row>
    <row r="998" spans="1:3" x14ac:dyDescent="0.5">
      <c r="A998">
        <v>1924</v>
      </c>
      <c r="B998" s="1" t="s">
        <v>22</v>
      </c>
      <c r="C998">
        <v>-32</v>
      </c>
    </row>
    <row r="999" spans="1:3" x14ac:dyDescent="0.5">
      <c r="A999">
        <v>1925</v>
      </c>
      <c r="B999" s="1" t="s">
        <v>22</v>
      </c>
      <c r="C999">
        <v>-17</v>
      </c>
    </row>
    <row r="1000" spans="1:3" x14ac:dyDescent="0.5">
      <c r="A1000">
        <v>1926</v>
      </c>
      <c r="B1000" s="1" t="s">
        <v>22</v>
      </c>
      <c r="C1000">
        <v>-9</v>
      </c>
    </row>
    <row r="1001" spans="1:3" x14ac:dyDescent="0.5">
      <c r="A1001">
        <v>1927</v>
      </c>
      <c r="B1001" s="1" t="s">
        <v>22</v>
      </c>
      <c r="C1001">
        <v>-18</v>
      </c>
    </row>
    <row r="1002" spans="1:3" x14ac:dyDescent="0.5">
      <c r="A1002">
        <v>1928</v>
      </c>
      <c r="B1002" s="1" t="s">
        <v>22</v>
      </c>
      <c r="C1002">
        <v>-24</v>
      </c>
    </row>
    <row r="1003" spans="1:3" x14ac:dyDescent="0.5">
      <c r="A1003">
        <v>1929</v>
      </c>
      <c r="B1003" s="1" t="s">
        <v>22</v>
      </c>
      <c r="C1003">
        <v>-28</v>
      </c>
    </row>
    <row r="1004" spans="1:3" x14ac:dyDescent="0.5">
      <c r="A1004">
        <v>1930</v>
      </c>
      <c r="B1004" s="1" t="s">
        <v>22</v>
      </c>
      <c r="C1004">
        <v>-9</v>
      </c>
    </row>
    <row r="1005" spans="1:3" x14ac:dyDescent="0.5">
      <c r="A1005">
        <v>1931</v>
      </c>
      <c r="B1005" s="1" t="s">
        <v>22</v>
      </c>
      <c r="C1005">
        <v>0</v>
      </c>
    </row>
    <row r="1006" spans="1:3" x14ac:dyDescent="0.5">
      <c r="A1006">
        <v>1932</v>
      </c>
      <c r="B1006" s="1" t="s">
        <v>22</v>
      </c>
      <c r="C1006">
        <v>-23</v>
      </c>
    </row>
    <row r="1007" spans="1:3" x14ac:dyDescent="0.5">
      <c r="A1007">
        <v>1933</v>
      </c>
      <c r="B1007" s="1" t="s">
        <v>22</v>
      </c>
      <c r="C1007">
        <v>-22</v>
      </c>
    </row>
    <row r="1008" spans="1:3" x14ac:dyDescent="0.5">
      <c r="A1008">
        <v>1934</v>
      </c>
      <c r="B1008" s="1" t="s">
        <v>22</v>
      </c>
      <c r="C1008">
        <v>-9</v>
      </c>
    </row>
    <row r="1009" spans="1:3" x14ac:dyDescent="0.5">
      <c r="A1009">
        <v>1935</v>
      </c>
      <c r="B1009" s="1" t="s">
        <v>22</v>
      </c>
      <c r="C1009">
        <v>-16</v>
      </c>
    </row>
    <row r="1010" spans="1:3" x14ac:dyDescent="0.5">
      <c r="A1010">
        <v>1936</v>
      </c>
      <c r="B1010" s="1" t="s">
        <v>22</v>
      </c>
      <c r="C1010">
        <v>-11</v>
      </c>
    </row>
    <row r="1011" spans="1:3" x14ac:dyDescent="0.5">
      <c r="A1011">
        <v>1937</v>
      </c>
      <c r="B1011" s="1" t="s">
        <v>22</v>
      </c>
      <c r="C1011">
        <v>4</v>
      </c>
    </row>
    <row r="1012" spans="1:3" x14ac:dyDescent="0.5">
      <c r="A1012">
        <v>1938</v>
      </c>
      <c r="B1012" s="1" t="s">
        <v>22</v>
      </c>
      <c r="C1012">
        <v>-3</v>
      </c>
    </row>
    <row r="1013" spans="1:3" x14ac:dyDescent="0.5">
      <c r="A1013">
        <v>1939</v>
      </c>
      <c r="B1013" s="1" t="s">
        <v>22</v>
      </c>
      <c r="C1013">
        <v>-4</v>
      </c>
    </row>
    <row r="1014" spans="1:3" x14ac:dyDescent="0.5">
      <c r="A1014">
        <v>1940</v>
      </c>
      <c r="B1014" s="1" t="s">
        <v>22</v>
      </c>
      <c r="C1014">
        <v>1</v>
      </c>
    </row>
    <row r="1015" spans="1:3" x14ac:dyDescent="0.5">
      <c r="A1015">
        <v>1941</v>
      </c>
      <c r="B1015" s="1" t="s">
        <v>22</v>
      </c>
      <c r="C1015">
        <v>15</v>
      </c>
    </row>
    <row r="1016" spans="1:3" x14ac:dyDescent="0.5">
      <c r="A1016">
        <v>1942</v>
      </c>
      <c r="B1016" s="1" t="s">
        <v>22</v>
      </c>
      <c r="C1016">
        <v>-2</v>
      </c>
    </row>
    <row r="1017" spans="1:3" x14ac:dyDescent="0.5">
      <c r="A1017">
        <v>1943</v>
      </c>
      <c r="B1017" s="1" t="s">
        <v>22</v>
      </c>
      <c r="C1017">
        <v>4</v>
      </c>
    </row>
    <row r="1018" spans="1:3" x14ac:dyDescent="0.5">
      <c r="A1018">
        <v>1944</v>
      </c>
      <c r="B1018" s="1" t="s">
        <v>22</v>
      </c>
      <c r="C1018">
        <v>23</v>
      </c>
    </row>
    <row r="1019" spans="1:3" x14ac:dyDescent="0.5">
      <c r="A1019">
        <v>1945</v>
      </c>
      <c r="B1019" s="1" t="s">
        <v>22</v>
      </c>
      <c r="C1019">
        <v>26</v>
      </c>
    </row>
    <row r="1020" spans="1:3" x14ac:dyDescent="0.5">
      <c r="A1020">
        <v>1946</v>
      </c>
      <c r="B1020" s="1" t="s">
        <v>22</v>
      </c>
      <c r="C1020">
        <v>-9</v>
      </c>
    </row>
    <row r="1021" spans="1:3" x14ac:dyDescent="0.5">
      <c r="A1021">
        <v>1947</v>
      </c>
      <c r="B1021" s="1" t="s">
        <v>22</v>
      </c>
      <c r="C1021">
        <v>-7</v>
      </c>
    </row>
    <row r="1022" spans="1:3" x14ac:dyDescent="0.5">
      <c r="A1022">
        <v>1948</v>
      </c>
      <c r="B1022" s="1" t="s">
        <v>22</v>
      </c>
      <c r="C1022">
        <v>-9</v>
      </c>
    </row>
    <row r="1023" spans="1:3" x14ac:dyDescent="0.5">
      <c r="A1023">
        <v>1949</v>
      </c>
      <c r="B1023" s="1" t="s">
        <v>22</v>
      </c>
      <c r="C1023">
        <v>-9</v>
      </c>
    </row>
    <row r="1024" spans="1:3" x14ac:dyDescent="0.5">
      <c r="A1024">
        <v>1950</v>
      </c>
      <c r="B1024" s="1" t="s">
        <v>22</v>
      </c>
      <c r="C1024">
        <v>-18</v>
      </c>
    </row>
    <row r="1025" spans="1:3" x14ac:dyDescent="0.5">
      <c r="A1025">
        <v>1951</v>
      </c>
      <c r="B1025" s="1" t="s">
        <v>22</v>
      </c>
      <c r="C1025">
        <v>6</v>
      </c>
    </row>
    <row r="1026" spans="1:3" x14ac:dyDescent="0.5">
      <c r="A1026">
        <v>1952</v>
      </c>
      <c r="B1026" s="1" t="s">
        <v>22</v>
      </c>
      <c r="C1026">
        <v>8</v>
      </c>
    </row>
    <row r="1027" spans="1:3" x14ac:dyDescent="0.5">
      <c r="A1027">
        <v>1953</v>
      </c>
      <c r="B1027" s="1" t="s">
        <v>22</v>
      </c>
      <c r="C1027">
        <v>9</v>
      </c>
    </row>
    <row r="1028" spans="1:3" x14ac:dyDescent="0.5">
      <c r="A1028">
        <v>1954</v>
      </c>
      <c r="B1028" s="1" t="s">
        <v>22</v>
      </c>
      <c r="C1028">
        <v>-12</v>
      </c>
    </row>
    <row r="1029" spans="1:3" x14ac:dyDescent="0.5">
      <c r="A1029">
        <v>1955</v>
      </c>
      <c r="B1029" s="1" t="s">
        <v>22</v>
      </c>
      <c r="C1029">
        <v>7</v>
      </c>
    </row>
    <row r="1030" spans="1:3" x14ac:dyDescent="0.5">
      <c r="A1030">
        <v>1956</v>
      </c>
      <c r="B1030" s="1" t="s">
        <v>22</v>
      </c>
      <c r="C1030">
        <v>-26</v>
      </c>
    </row>
    <row r="1031" spans="1:3" x14ac:dyDescent="0.5">
      <c r="A1031">
        <v>1957</v>
      </c>
      <c r="B1031" s="1" t="s">
        <v>22</v>
      </c>
      <c r="C1031">
        <v>14</v>
      </c>
    </row>
    <row r="1032" spans="1:3" x14ac:dyDescent="0.5">
      <c r="A1032">
        <v>1958</v>
      </c>
      <c r="B1032" s="1" t="s">
        <v>22</v>
      </c>
      <c r="C1032">
        <v>-6</v>
      </c>
    </row>
    <row r="1033" spans="1:3" x14ac:dyDescent="0.5">
      <c r="A1033">
        <v>1959</v>
      </c>
      <c r="B1033" s="1" t="s">
        <v>22</v>
      </c>
      <c r="C1033">
        <v>-1</v>
      </c>
    </row>
    <row r="1034" spans="1:3" x14ac:dyDescent="0.5">
      <c r="A1034">
        <v>1960</v>
      </c>
      <c r="B1034" s="1" t="s">
        <v>22</v>
      </c>
      <c r="C1034">
        <v>0</v>
      </c>
    </row>
    <row r="1035" spans="1:3" x14ac:dyDescent="0.5">
      <c r="A1035">
        <v>1961</v>
      </c>
      <c r="B1035" s="1" t="s">
        <v>22</v>
      </c>
      <c r="C1035">
        <v>0</v>
      </c>
    </row>
    <row r="1036" spans="1:3" x14ac:dyDescent="0.5">
      <c r="A1036">
        <v>1962</v>
      </c>
      <c r="B1036" s="1" t="s">
        <v>22</v>
      </c>
      <c r="C1036">
        <v>-3</v>
      </c>
    </row>
    <row r="1037" spans="1:3" x14ac:dyDescent="0.5">
      <c r="A1037">
        <v>1963</v>
      </c>
      <c r="B1037" s="1" t="s">
        <v>22</v>
      </c>
      <c r="C1037">
        <v>23</v>
      </c>
    </row>
    <row r="1038" spans="1:3" x14ac:dyDescent="0.5">
      <c r="A1038">
        <v>1964</v>
      </c>
      <c r="B1038" s="1" t="s">
        <v>22</v>
      </c>
      <c r="C1038">
        <v>-22</v>
      </c>
    </row>
    <row r="1039" spans="1:3" x14ac:dyDescent="0.5">
      <c r="A1039">
        <v>1965</v>
      </c>
      <c r="B1039" s="1" t="s">
        <v>22</v>
      </c>
      <c r="C1039">
        <v>-1</v>
      </c>
    </row>
    <row r="1040" spans="1:3" x14ac:dyDescent="0.5">
      <c r="A1040">
        <v>1966</v>
      </c>
      <c r="B1040" s="1" t="s">
        <v>22</v>
      </c>
      <c r="C1040">
        <v>-11</v>
      </c>
    </row>
    <row r="1041" spans="1:3" x14ac:dyDescent="0.5">
      <c r="A1041">
        <v>1967</v>
      </c>
      <c r="B1041" s="1" t="s">
        <v>22</v>
      </c>
      <c r="C1041">
        <v>3</v>
      </c>
    </row>
    <row r="1042" spans="1:3" x14ac:dyDescent="0.5">
      <c r="A1042">
        <v>1968</v>
      </c>
      <c r="B1042" s="1" t="s">
        <v>22</v>
      </c>
      <c r="C1042">
        <v>-11</v>
      </c>
    </row>
    <row r="1043" spans="1:3" x14ac:dyDescent="0.5">
      <c r="A1043">
        <v>1969</v>
      </c>
      <c r="B1043" s="1" t="s">
        <v>22</v>
      </c>
      <c r="C1043">
        <v>3</v>
      </c>
    </row>
    <row r="1044" spans="1:3" x14ac:dyDescent="0.5">
      <c r="A1044">
        <v>1970</v>
      </c>
      <c r="B1044" s="1" t="s">
        <v>22</v>
      </c>
      <c r="C1044">
        <v>-10</v>
      </c>
    </row>
    <row r="1045" spans="1:3" x14ac:dyDescent="0.5">
      <c r="A1045">
        <v>1971</v>
      </c>
      <c r="B1045" s="1" t="s">
        <v>22</v>
      </c>
      <c r="C1045">
        <v>-3</v>
      </c>
    </row>
    <row r="1046" spans="1:3" x14ac:dyDescent="0.5">
      <c r="A1046">
        <v>1972</v>
      </c>
      <c r="B1046" s="1" t="s">
        <v>22</v>
      </c>
      <c r="C1046">
        <v>18</v>
      </c>
    </row>
    <row r="1047" spans="1:3" x14ac:dyDescent="0.5">
      <c r="A1047">
        <v>1973</v>
      </c>
      <c r="B1047" s="1" t="s">
        <v>22</v>
      </c>
      <c r="C1047">
        <v>2</v>
      </c>
    </row>
    <row r="1048" spans="1:3" x14ac:dyDescent="0.5">
      <c r="A1048">
        <v>1974</v>
      </c>
      <c r="B1048" s="1" t="s">
        <v>22</v>
      </c>
      <c r="C1048">
        <v>11</v>
      </c>
    </row>
    <row r="1049" spans="1:3" x14ac:dyDescent="0.5">
      <c r="A1049">
        <v>1975</v>
      </c>
      <c r="B1049" s="1" t="s">
        <v>22</v>
      </c>
      <c r="C1049">
        <v>-21</v>
      </c>
    </row>
    <row r="1050" spans="1:3" x14ac:dyDescent="0.5">
      <c r="A1050">
        <v>1976</v>
      </c>
      <c r="B1050" s="1" t="s">
        <v>22</v>
      </c>
      <c r="C1050">
        <v>-16</v>
      </c>
    </row>
    <row r="1051" spans="1:3" x14ac:dyDescent="0.5">
      <c r="A1051">
        <v>1977</v>
      </c>
      <c r="B1051" s="1" t="s">
        <v>22</v>
      </c>
      <c r="C1051">
        <v>20</v>
      </c>
    </row>
    <row r="1052" spans="1:3" x14ac:dyDescent="0.5">
      <c r="A1052">
        <v>1978</v>
      </c>
      <c r="B1052" s="1" t="s">
        <v>22</v>
      </c>
      <c r="C1052">
        <v>-19</v>
      </c>
    </row>
    <row r="1053" spans="1:3" x14ac:dyDescent="0.5">
      <c r="A1053">
        <v>1979</v>
      </c>
      <c r="B1053" s="1" t="s">
        <v>22</v>
      </c>
      <c r="C1053">
        <v>14</v>
      </c>
    </row>
    <row r="1054" spans="1:3" x14ac:dyDescent="0.5">
      <c r="A1054">
        <v>1980</v>
      </c>
      <c r="B1054" s="1" t="s">
        <v>22</v>
      </c>
      <c r="C1054">
        <v>26</v>
      </c>
    </row>
    <row r="1055" spans="1:3" x14ac:dyDescent="0.5">
      <c r="A1055">
        <v>1981</v>
      </c>
      <c r="B1055" s="1" t="s">
        <v>22</v>
      </c>
      <c r="C1055">
        <v>33</v>
      </c>
    </row>
    <row r="1056" spans="1:3" x14ac:dyDescent="0.5">
      <c r="A1056">
        <v>1982</v>
      </c>
      <c r="B1056" s="1" t="s">
        <v>22</v>
      </c>
      <c r="C1056">
        <v>9</v>
      </c>
    </row>
    <row r="1057" spans="1:3" x14ac:dyDescent="0.5">
      <c r="A1057">
        <v>1983</v>
      </c>
      <c r="B1057" s="1" t="s">
        <v>22</v>
      </c>
      <c r="C1057">
        <v>31</v>
      </c>
    </row>
    <row r="1058" spans="1:3" x14ac:dyDescent="0.5">
      <c r="A1058">
        <v>1984</v>
      </c>
      <c r="B1058" s="1" t="s">
        <v>22</v>
      </c>
      <c r="C1058">
        <v>15</v>
      </c>
    </row>
    <row r="1059" spans="1:3" x14ac:dyDescent="0.5">
      <c r="A1059">
        <v>1985</v>
      </c>
      <c r="B1059" s="1" t="s">
        <v>22</v>
      </c>
      <c r="C1059">
        <v>15</v>
      </c>
    </row>
    <row r="1060" spans="1:3" x14ac:dyDescent="0.5">
      <c r="A1060">
        <v>1986</v>
      </c>
      <c r="B1060" s="1" t="s">
        <v>22</v>
      </c>
      <c r="C1060">
        <v>12</v>
      </c>
    </row>
    <row r="1061" spans="1:3" x14ac:dyDescent="0.5">
      <c r="A1061">
        <v>1987</v>
      </c>
      <c r="B1061" s="1" t="s">
        <v>22</v>
      </c>
      <c r="C1061">
        <v>28</v>
      </c>
    </row>
    <row r="1062" spans="1:3" x14ac:dyDescent="0.5">
      <c r="A1062">
        <v>1988</v>
      </c>
      <c r="B1062" s="1" t="s">
        <v>22</v>
      </c>
      <c r="C1062">
        <v>44</v>
      </c>
    </row>
    <row r="1063" spans="1:3" x14ac:dyDescent="0.5">
      <c r="A1063">
        <v>1989</v>
      </c>
      <c r="B1063" s="1" t="s">
        <v>22</v>
      </c>
      <c r="C1063">
        <v>35</v>
      </c>
    </row>
    <row r="1064" spans="1:3" x14ac:dyDescent="0.5">
      <c r="A1064">
        <v>1990</v>
      </c>
      <c r="B1064" s="1" t="s">
        <v>22</v>
      </c>
      <c r="C1064">
        <v>30</v>
      </c>
    </row>
    <row r="1065" spans="1:3" x14ac:dyDescent="0.5">
      <c r="A1065">
        <v>1991</v>
      </c>
      <c r="B1065" s="1" t="s">
        <v>22</v>
      </c>
      <c r="C1065">
        <v>42</v>
      </c>
    </row>
    <row r="1066" spans="1:3" x14ac:dyDescent="0.5">
      <c r="A1066">
        <v>1992</v>
      </c>
      <c r="B1066" s="1" t="s">
        <v>22</v>
      </c>
      <c r="C1066">
        <v>10</v>
      </c>
    </row>
    <row r="1067" spans="1:3" x14ac:dyDescent="0.5">
      <c r="A1067">
        <v>1993</v>
      </c>
      <c r="B1067" s="1" t="s">
        <v>22</v>
      </c>
      <c r="C1067">
        <v>14</v>
      </c>
    </row>
    <row r="1068" spans="1:3" x14ac:dyDescent="0.5">
      <c r="A1068">
        <v>1994</v>
      </c>
      <c r="B1068" s="1" t="s">
        <v>22</v>
      </c>
      <c r="C1068">
        <v>22</v>
      </c>
    </row>
    <row r="1069" spans="1:3" x14ac:dyDescent="0.5">
      <c r="A1069">
        <v>1995</v>
      </c>
      <c r="B1069" s="1" t="s">
        <v>22</v>
      </c>
      <c r="C1069">
        <v>49</v>
      </c>
    </row>
    <row r="1070" spans="1:3" x14ac:dyDescent="0.5">
      <c r="A1070">
        <v>1996</v>
      </c>
      <c r="B1070" s="1" t="s">
        <v>22</v>
      </c>
      <c r="C1070">
        <v>50</v>
      </c>
    </row>
    <row r="1071" spans="1:3" x14ac:dyDescent="0.5">
      <c r="A1071">
        <v>1997</v>
      </c>
      <c r="B1071" s="1" t="s">
        <v>22</v>
      </c>
      <c r="C1071">
        <v>42</v>
      </c>
    </row>
    <row r="1072" spans="1:3" x14ac:dyDescent="0.5">
      <c r="A1072">
        <v>1998</v>
      </c>
      <c r="B1072" s="1" t="s">
        <v>22</v>
      </c>
      <c r="C1072">
        <v>69</v>
      </c>
    </row>
    <row r="1073" spans="1:3" x14ac:dyDescent="0.5">
      <c r="A1073">
        <v>1999</v>
      </c>
      <c r="B1073" s="1" t="s">
        <v>22</v>
      </c>
      <c r="C1073">
        <v>35</v>
      </c>
    </row>
    <row r="1074" spans="1:3" x14ac:dyDescent="0.5">
      <c r="A1074">
        <v>2000</v>
      </c>
      <c r="B1074" s="1" t="s">
        <v>22</v>
      </c>
      <c r="C1074">
        <v>43</v>
      </c>
    </row>
    <row r="1075" spans="1:3" x14ac:dyDescent="0.5">
      <c r="A1075">
        <v>2001</v>
      </c>
      <c r="B1075" s="1" t="s">
        <v>22</v>
      </c>
      <c r="C1075">
        <v>50</v>
      </c>
    </row>
    <row r="1076" spans="1:3" x14ac:dyDescent="0.5">
      <c r="A1076">
        <v>2002</v>
      </c>
      <c r="B1076" s="1" t="s">
        <v>22</v>
      </c>
      <c r="C1076">
        <v>55</v>
      </c>
    </row>
    <row r="1077" spans="1:3" x14ac:dyDescent="0.5">
      <c r="A1077">
        <v>2003</v>
      </c>
      <c r="B1077" s="1" t="s">
        <v>22</v>
      </c>
      <c r="C1077">
        <v>66</v>
      </c>
    </row>
    <row r="1078" spans="1:3" x14ac:dyDescent="0.5">
      <c r="A1078">
        <v>2004</v>
      </c>
      <c r="B1078" s="1" t="s">
        <v>22</v>
      </c>
      <c r="C1078">
        <v>45</v>
      </c>
    </row>
    <row r="1079" spans="1:3" x14ac:dyDescent="0.5">
      <c r="A1079">
        <v>2005</v>
      </c>
      <c r="B1079" s="1" t="s">
        <v>22</v>
      </c>
      <c r="C1079">
        <v>63</v>
      </c>
    </row>
    <row r="1080" spans="1:3" x14ac:dyDescent="0.5">
      <c r="A1080">
        <v>2006</v>
      </c>
      <c r="B1080" s="1" t="s">
        <v>22</v>
      </c>
      <c r="C1080">
        <v>71</v>
      </c>
    </row>
    <row r="1081" spans="1:3" x14ac:dyDescent="0.5">
      <c r="A1081">
        <v>2007</v>
      </c>
      <c r="B1081" s="1" t="s">
        <v>22</v>
      </c>
      <c r="C1081">
        <v>61</v>
      </c>
    </row>
    <row r="1082" spans="1:3" x14ac:dyDescent="0.5">
      <c r="A1082">
        <v>2008</v>
      </c>
      <c r="B1082" s="1" t="s">
        <v>22</v>
      </c>
      <c r="C1082">
        <v>45</v>
      </c>
    </row>
    <row r="1083" spans="1:3" x14ac:dyDescent="0.5">
      <c r="A1083">
        <v>2009</v>
      </c>
      <c r="B1083" s="1" t="s">
        <v>22</v>
      </c>
      <c r="C1083">
        <v>68</v>
      </c>
    </row>
    <row r="1084" spans="1:3" x14ac:dyDescent="0.5">
      <c r="A1084">
        <v>2010</v>
      </c>
      <c r="B1084" s="1" t="s">
        <v>22</v>
      </c>
      <c r="C1084">
        <v>65</v>
      </c>
    </row>
    <row r="1085" spans="1:3" x14ac:dyDescent="0.5">
      <c r="A1085">
        <v>2011</v>
      </c>
      <c r="B1085" s="1" t="s">
        <v>22</v>
      </c>
      <c r="C1085">
        <v>73</v>
      </c>
    </row>
    <row r="1086" spans="1:3" x14ac:dyDescent="0.5">
      <c r="A1086">
        <v>2012</v>
      </c>
      <c r="B1086" s="1" t="s">
        <v>22</v>
      </c>
      <c r="C1086">
        <v>64</v>
      </c>
    </row>
    <row r="1087" spans="1:3" x14ac:dyDescent="0.5">
      <c r="A1087">
        <v>2013</v>
      </c>
      <c r="B1087" s="1" t="s">
        <v>22</v>
      </c>
      <c r="C1087">
        <v>66</v>
      </c>
    </row>
    <row r="1088" spans="1:3" x14ac:dyDescent="0.5">
      <c r="A1088">
        <v>2014</v>
      </c>
      <c r="B1088" s="1" t="s">
        <v>22</v>
      </c>
      <c r="C1088">
        <v>82</v>
      </c>
    </row>
    <row r="1089" spans="1:3" x14ac:dyDescent="0.5">
      <c r="A1089">
        <v>2015</v>
      </c>
      <c r="B1089" s="1" t="s">
        <v>22</v>
      </c>
    </row>
    <row r="1090" spans="1:3" x14ac:dyDescent="0.5">
      <c r="A1090">
        <v>1880</v>
      </c>
      <c r="B1090" s="1" t="s">
        <v>23</v>
      </c>
      <c r="C1090">
        <v>-16</v>
      </c>
    </row>
    <row r="1091" spans="1:3" x14ac:dyDescent="0.5">
      <c r="A1091">
        <v>1881</v>
      </c>
      <c r="B1091" s="1" t="s">
        <v>23</v>
      </c>
      <c r="C1091">
        <v>-8</v>
      </c>
    </row>
    <row r="1092" spans="1:3" x14ac:dyDescent="0.5">
      <c r="A1092">
        <v>1882</v>
      </c>
      <c r="B1092" s="1" t="s">
        <v>23</v>
      </c>
      <c r="C1092">
        <v>0</v>
      </c>
    </row>
    <row r="1093" spans="1:3" x14ac:dyDescent="0.5">
      <c r="A1093">
        <v>1883</v>
      </c>
      <c r="B1093" s="1" t="s">
        <v>23</v>
      </c>
      <c r="C1093">
        <v>-18</v>
      </c>
    </row>
    <row r="1094" spans="1:3" x14ac:dyDescent="0.5">
      <c r="A1094">
        <v>1884</v>
      </c>
      <c r="B1094" s="1" t="s">
        <v>23</v>
      </c>
      <c r="C1094">
        <v>-22</v>
      </c>
    </row>
    <row r="1095" spans="1:3" x14ac:dyDescent="0.5">
      <c r="A1095">
        <v>1885</v>
      </c>
      <c r="B1095" s="1" t="s">
        <v>23</v>
      </c>
      <c r="C1095">
        <v>-19</v>
      </c>
    </row>
    <row r="1096" spans="1:3" x14ac:dyDescent="0.5">
      <c r="A1096">
        <v>1886</v>
      </c>
      <c r="B1096" s="1" t="s">
        <v>23</v>
      </c>
      <c r="C1096">
        <v>-18</v>
      </c>
    </row>
    <row r="1097" spans="1:3" x14ac:dyDescent="0.5">
      <c r="A1097">
        <v>1887</v>
      </c>
      <c r="B1097" s="1" t="s">
        <v>23</v>
      </c>
      <c r="C1097">
        <v>-19</v>
      </c>
    </row>
    <row r="1098" spans="1:3" x14ac:dyDescent="0.5">
      <c r="A1098">
        <v>1888</v>
      </c>
      <c r="B1098" s="1" t="s">
        <v>23</v>
      </c>
      <c r="C1098">
        <v>-7</v>
      </c>
    </row>
    <row r="1099" spans="1:3" x14ac:dyDescent="0.5">
      <c r="A1099">
        <v>1889</v>
      </c>
      <c r="B1099" s="1" t="s">
        <v>23</v>
      </c>
      <c r="C1099">
        <v>-18</v>
      </c>
    </row>
    <row r="1100" spans="1:3" x14ac:dyDescent="0.5">
      <c r="A1100">
        <v>1890</v>
      </c>
      <c r="B1100" s="1" t="s">
        <v>23</v>
      </c>
      <c r="C1100">
        <v>-36</v>
      </c>
    </row>
    <row r="1101" spans="1:3" x14ac:dyDescent="0.5">
      <c r="A1101">
        <v>1891</v>
      </c>
      <c r="B1101" s="1" t="s">
        <v>23</v>
      </c>
      <c r="C1101">
        <v>-13</v>
      </c>
    </row>
    <row r="1102" spans="1:3" x14ac:dyDescent="0.5">
      <c r="A1102">
        <v>1892</v>
      </c>
      <c r="B1102" s="1" t="s">
        <v>23</v>
      </c>
      <c r="C1102">
        <v>-24</v>
      </c>
    </row>
    <row r="1103" spans="1:3" x14ac:dyDescent="0.5">
      <c r="A1103">
        <v>1893</v>
      </c>
      <c r="B1103" s="1" t="s">
        <v>23</v>
      </c>
      <c r="C1103">
        <v>-17</v>
      </c>
    </row>
    <row r="1104" spans="1:3" x14ac:dyDescent="0.5">
      <c r="A1104">
        <v>1894</v>
      </c>
      <c r="B1104" s="1" t="s">
        <v>23</v>
      </c>
      <c r="C1104">
        <v>-22</v>
      </c>
    </row>
    <row r="1105" spans="1:3" x14ac:dyDescent="0.5">
      <c r="A1105">
        <v>1895</v>
      </c>
      <c r="B1105" s="1" t="s">
        <v>23</v>
      </c>
      <c r="C1105">
        <v>-1</v>
      </c>
    </row>
    <row r="1106" spans="1:3" x14ac:dyDescent="0.5">
      <c r="A1106">
        <v>1896</v>
      </c>
      <c r="B1106" s="1" t="s">
        <v>23</v>
      </c>
      <c r="C1106">
        <v>-3</v>
      </c>
    </row>
    <row r="1107" spans="1:3" x14ac:dyDescent="0.5">
      <c r="A1107">
        <v>1897</v>
      </c>
      <c r="B1107" s="1" t="s">
        <v>23</v>
      </c>
      <c r="C1107">
        <v>-4</v>
      </c>
    </row>
    <row r="1108" spans="1:3" x14ac:dyDescent="0.5">
      <c r="A1108">
        <v>1898</v>
      </c>
      <c r="B1108" s="1" t="s">
        <v>23</v>
      </c>
      <c r="C1108">
        <v>-20</v>
      </c>
    </row>
    <row r="1109" spans="1:3" x14ac:dyDescent="0.5">
      <c r="A1109">
        <v>1899</v>
      </c>
      <c r="B1109" s="1" t="s">
        <v>23</v>
      </c>
      <c r="C1109">
        <v>-2</v>
      </c>
    </row>
    <row r="1110" spans="1:3" x14ac:dyDescent="0.5">
      <c r="A1110">
        <v>1900</v>
      </c>
      <c r="B1110" s="1" t="s">
        <v>23</v>
      </c>
      <c r="C1110">
        <v>2</v>
      </c>
    </row>
    <row r="1111" spans="1:3" x14ac:dyDescent="0.5">
      <c r="A1111">
        <v>1901</v>
      </c>
      <c r="B1111" s="1" t="s">
        <v>23</v>
      </c>
      <c r="C1111">
        <v>-16</v>
      </c>
    </row>
    <row r="1112" spans="1:3" x14ac:dyDescent="0.5">
      <c r="A1112">
        <v>1902</v>
      </c>
      <c r="B1112" s="1" t="s">
        <v>23</v>
      </c>
      <c r="C1112">
        <v>-20</v>
      </c>
    </row>
    <row r="1113" spans="1:3" x14ac:dyDescent="0.5">
      <c r="A1113">
        <v>1903</v>
      </c>
      <c r="B1113" s="1" t="s">
        <v>23</v>
      </c>
      <c r="C1113">
        <v>-42</v>
      </c>
    </row>
    <row r="1114" spans="1:3" x14ac:dyDescent="0.5">
      <c r="A1114">
        <v>1904</v>
      </c>
      <c r="B1114" s="1" t="s">
        <v>23</v>
      </c>
      <c r="C1114">
        <v>-46</v>
      </c>
    </row>
    <row r="1115" spans="1:3" x14ac:dyDescent="0.5">
      <c r="A1115">
        <v>1905</v>
      </c>
      <c r="B1115" s="1" t="s">
        <v>23</v>
      </c>
      <c r="C1115">
        <v>-14</v>
      </c>
    </row>
    <row r="1116" spans="1:3" x14ac:dyDescent="0.5">
      <c r="A1116">
        <v>1906</v>
      </c>
      <c r="B1116" s="1" t="s">
        <v>23</v>
      </c>
      <c r="C1116">
        <v>-24</v>
      </c>
    </row>
    <row r="1117" spans="1:3" x14ac:dyDescent="0.5">
      <c r="A1117">
        <v>1907</v>
      </c>
      <c r="B1117" s="1" t="s">
        <v>23</v>
      </c>
      <c r="C1117">
        <v>-31</v>
      </c>
    </row>
    <row r="1118" spans="1:3" x14ac:dyDescent="0.5">
      <c r="A1118">
        <v>1908</v>
      </c>
      <c r="B1118" s="1" t="s">
        <v>23</v>
      </c>
      <c r="C1118">
        <v>-32</v>
      </c>
    </row>
    <row r="1119" spans="1:3" x14ac:dyDescent="0.5">
      <c r="A1119">
        <v>1909</v>
      </c>
      <c r="B1119" s="1" t="s">
        <v>23</v>
      </c>
      <c r="C1119">
        <v>-37</v>
      </c>
    </row>
    <row r="1120" spans="1:3" x14ac:dyDescent="0.5">
      <c r="A1120">
        <v>1910</v>
      </c>
      <c r="B1120" s="1" t="s">
        <v>23</v>
      </c>
      <c r="C1120">
        <v>-36</v>
      </c>
    </row>
    <row r="1121" spans="1:3" x14ac:dyDescent="0.5">
      <c r="A1121">
        <v>1911</v>
      </c>
      <c r="B1121" s="1" t="s">
        <v>23</v>
      </c>
      <c r="C1121">
        <v>-38</v>
      </c>
    </row>
    <row r="1122" spans="1:3" x14ac:dyDescent="0.5">
      <c r="A1122">
        <v>1912</v>
      </c>
      <c r="B1122" s="1" t="s">
        <v>23</v>
      </c>
      <c r="C1122">
        <v>-47</v>
      </c>
    </row>
    <row r="1123" spans="1:3" x14ac:dyDescent="0.5">
      <c r="A1123">
        <v>1913</v>
      </c>
      <c r="B1123" s="1" t="s">
        <v>23</v>
      </c>
      <c r="C1123">
        <v>-32</v>
      </c>
    </row>
    <row r="1124" spans="1:3" x14ac:dyDescent="0.5">
      <c r="A1124">
        <v>1914</v>
      </c>
      <c r="B1124" s="1" t="s">
        <v>23</v>
      </c>
      <c r="C1124">
        <v>-13</v>
      </c>
    </row>
    <row r="1125" spans="1:3" x14ac:dyDescent="0.5">
      <c r="A1125">
        <v>1915</v>
      </c>
      <c r="B1125" s="1" t="s">
        <v>23</v>
      </c>
      <c r="C1125">
        <v>-11</v>
      </c>
    </row>
    <row r="1126" spans="1:3" x14ac:dyDescent="0.5">
      <c r="A1126">
        <v>1916</v>
      </c>
      <c r="B1126" s="1" t="s">
        <v>23</v>
      </c>
      <c r="C1126">
        <v>-28</v>
      </c>
    </row>
    <row r="1127" spans="1:3" x14ac:dyDescent="0.5">
      <c r="A1127">
        <v>1917</v>
      </c>
      <c r="B1127" s="1" t="s">
        <v>23</v>
      </c>
      <c r="C1127">
        <v>-17</v>
      </c>
    </row>
    <row r="1128" spans="1:3" x14ac:dyDescent="0.5">
      <c r="A1128">
        <v>1918</v>
      </c>
      <c r="B1128" s="1" t="s">
        <v>23</v>
      </c>
      <c r="C1128">
        <v>-13</v>
      </c>
    </row>
    <row r="1129" spans="1:3" x14ac:dyDescent="0.5">
      <c r="A1129">
        <v>1919</v>
      </c>
      <c r="B1129" s="1" t="s">
        <v>23</v>
      </c>
      <c r="C1129">
        <v>-16</v>
      </c>
    </row>
    <row r="1130" spans="1:3" x14ac:dyDescent="0.5">
      <c r="A1130">
        <v>1920</v>
      </c>
      <c r="B1130" s="1" t="s">
        <v>23</v>
      </c>
      <c r="C1130">
        <v>-18</v>
      </c>
    </row>
    <row r="1131" spans="1:3" x14ac:dyDescent="0.5">
      <c r="A1131">
        <v>1921</v>
      </c>
      <c r="B1131" s="1" t="s">
        <v>23</v>
      </c>
      <c r="C1131">
        <v>-16</v>
      </c>
    </row>
    <row r="1132" spans="1:3" x14ac:dyDescent="0.5">
      <c r="A1132">
        <v>1922</v>
      </c>
      <c r="B1132" s="1" t="s">
        <v>23</v>
      </c>
      <c r="C1132">
        <v>-27</v>
      </c>
    </row>
    <row r="1133" spans="1:3" x14ac:dyDescent="0.5">
      <c r="A1133">
        <v>1923</v>
      </c>
      <c r="B1133" s="1" t="s">
        <v>23</v>
      </c>
      <c r="C1133">
        <v>-26</v>
      </c>
    </row>
    <row r="1134" spans="1:3" x14ac:dyDescent="0.5">
      <c r="A1134">
        <v>1924</v>
      </c>
      <c r="B1134" s="1" t="s">
        <v>23</v>
      </c>
      <c r="C1134">
        <v>-29</v>
      </c>
    </row>
    <row r="1135" spans="1:3" x14ac:dyDescent="0.5">
      <c r="A1135">
        <v>1925</v>
      </c>
      <c r="B1135" s="1" t="s">
        <v>23</v>
      </c>
      <c r="C1135">
        <v>-12</v>
      </c>
    </row>
    <row r="1136" spans="1:3" x14ac:dyDescent="0.5">
      <c r="A1136">
        <v>1926</v>
      </c>
      <c r="B1136" s="1" t="s">
        <v>23</v>
      </c>
      <c r="C1136">
        <v>-10</v>
      </c>
    </row>
    <row r="1137" spans="1:3" x14ac:dyDescent="0.5">
      <c r="A1137">
        <v>1927</v>
      </c>
      <c r="B1137" s="1" t="s">
        <v>23</v>
      </c>
      <c r="C1137">
        <v>-5</v>
      </c>
    </row>
    <row r="1138" spans="1:3" x14ac:dyDescent="0.5">
      <c r="A1138">
        <v>1928</v>
      </c>
      <c r="B1138" s="1" t="s">
        <v>23</v>
      </c>
      <c r="C1138">
        <v>-19</v>
      </c>
    </row>
    <row r="1139" spans="1:3" x14ac:dyDescent="0.5">
      <c r="A1139">
        <v>1929</v>
      </c>
      <c r="B1139" s="1" t="s">
        <v>23</v>
      </c>
      <c r="C1139">
        <v>-23</v>
      </c>
    </row>
    <row r="1140" spans="1:3" x14ac:dyDescent="0.5">
      <c r="A1140">
        <v>1930</v>
      </c>
      <c r="B1140" s="1" t="s">
        <v>23</v>
      </c>
      <c r="C1140">
        <v>-10</v>
      </c>
    </row>
    <row r="1141" spans="1:3" x14ac:dyDescent="0.5">
      <c r="A1141">
        <v>1931</v>
      </c>
      <c r="B1141" s="1" t="s">
        <v>23</v>
      </c>
      <c r="C1141">
        <v>-6</v>
      </c>
    </row>
    <row r="1142" spans="1:3" x14ac:dyDescent="0.5">
      <c r="A1142">
        <v>1932</v>
      </c>
      <c r="B1142" s="1" t="s">
        <v>23</v>
      </c>
      <c r="C1142">
        <v>-12</v>
      </c>
    </row>
    <row r="1143" spans="1:3" x14ac:dyDescent="0.5">
      <c r="A1143">
        <v>1933</v>
      </c>
      <c r="B1143" s="1" t="s">
        <v>23</v>
      </c>
      <c r="C1143">
        <v>-26</v>
      </c>
    </row>
    <row r="1144" spans="1:3" x14ac:dyDescent="0.5">
      <c r="A1144">
        <v>1934</v>
      </c>
      <c r="B1144" s="1" t="s">
        <v>23</v>
      </c>
      <c r="C1144">
        <v>-15</v>
      </c>
    </row>
    <row r="1145" spans="1:3" x14ac:dyDescent="0.5">
      <c r="A1145">
        <v>1935</v>
      </c>
      <c r="B1145" s="1" t="s">
        <v>23</v>
      </c>
      <c r="C1145">
        <v>-17</v>
      </c>
    </row>
    <row r="1146" spans="1:3" x14ac:dyDescent="0.5">
      <c r="A1146">
        <v>1936</v>
      </c>
      <c r="B1146" s="1" t="s">
        <v>23</v>
      </c>
      <c r="C1146">
        <v>-5</v>
      </c>
    </row>
    <row r="1147" spans="1:3" x14ac:dyDescent="0.5">
      <c r="A1147">
        <v>1937</v>
      </c>
      <c r="B1147" s="1" t="s">
        <v>23</v>
      </c>
      <c r="C1147">
        <v>15</v>
      </c>
    </row>
    <row r="1148" spans="1:3" x14ac:dyDescent="0.5">
      <c r="A1148">
        <v>1938</v>
      </c>
      <c r="B1148" s="1" t="s">
        <v>23</v>
      </c>
      <c r="C1148">
        <v>4</v>
      </c>
    </row>
    <row r="1149" spans="1:3" x14ac:dyDescent="0.5">
      <c r="A1149">
        <v>1939</v>
      </c>
      <c r="B1149" s="1" t="s">
        <v>23</v>
      </c>
      <c r="C1149">
        <v>1</v>
      </c>
    </row>
    <row r="1150" spans="1:3" x14ac:dyDescent="0.5">
      <c r="A1150">
        <v>1940</v>
      </c>
      <c r="B1150" s="1" t="s">
        <v>23</v>
      </c>
      <c r="C1150">
        <v>12</v>
      </c>
    </row>
    <row r="1151" spans="1:3" x14ac:dyDescent="0.5">
      <c r="A1151">
        <v>1941</v>
      </c>
      <c r="B1151" s="1" t="s">
        <v>23</v>
      </c>
      <c r="C1151">
        <v>3</v>
      </c>
    </row>
    <row r="1152" spans="1:3" x14ac:dyDescent="0.5">
      <c r="A1152">
        <v>1942</v>
      </c>
      <c r="B1152" s="1" t="s">
        <v>23</v>
      </c>
      <c r="C1152">
        <v>0</v>
      </c>
    </row>
    <row r="1153" spans="1:3" x14ac:dyDescent="0.5">
      <c r="A1153">
        <v>1943</v>
      </c>
      <c r="B1153" s="1" t="s">
        <v>23</v>
      </c>
      <c r="C1153">
        <v>12</v>
      </c>
    </row>
    <row r="1154" spans="1:3" x14ac:dyDescent="0.5">
      <c r="A1154">
        <v>1944</v>
      </c>
      <c r="B1154" s="1" t="s">
        <v>23</v>
      </c>
      <c r="C1154">
        <v>31</v>
      </c>
    </row>
    <row r="1155" spans="1:3" x14ac:dyDescent="0.5">
      <c r="A1155">
        <v>1945</v>
      </c>
      <c r="B1155" s="1" t="s">
        <v>23</v>
      </c>
      <c r="C1155">
        <v>22</v>
      </c>
    </row>
    <row r="1156" spans="1:3" x14ac:dyDescent="0.5">
      <c r="A1156">
        <v>1946</v>
      </c>
      <c r="B1156" s="1" t="s">
        <v>23</v>
      </c>
      <c r="C1156">
        <v>-2</v>
      </c>
    </row>
    <row r="1157" spans="1:3" x14ac:dyDescent="0.5">
      <c r="A1157">
        <v>1947</v>
      </c>
      <c r="B1157" s="1" t="s">
        <v>23</v>
      </c>
      <c r="C1157">
        <v>-14</v>
      </c>
    </row>
    <row r="1158" spans="1:3" x14ac:dyDescent="0.5">
      <c r="A1158">
        <v>1948</v>
      </c>
      <c r="B1158" s="1" t="s">
        <v>23</v>
      </c>
      <c r="C1158">
        <v>-13</v>
      </c>
    </row>
    <row r="1159" spans="1:3" x14ac:dyDescent="0.5">
      <c r="A1159">
        <v>1949</v>
      </c>
      <c r="B1159" s="1" t="s">
        <v>23</v>
      </c>
      <c r="C1159">
        <v>-9</v>
      </c>
    </row>
    <row r="1160" spans="1:3" x14ac:dyDescent="0.5">
      <c r="A1160">
        <v>1950</v>
      </c>
      <c r="B1160" s="1" t="s">
        <v>23</v>
      </c>
      <c r="C1160">
        <v>-10</v>
      </c>
    </row>
    <row r="1161" spans="1:3" x14ac:dyDescent="0.5">
      <c r="A1161">
        <v>1951</v>
      </c>
      <c r="B1161" s="1" t="s">
        <v>23</v>
      </c>
      <c r="C1161">
        <v>4</v>
      </c>
    </row>
    <row r="1162" spans="1:3" x14ac:dyDescent="0.5">
      <c r="A1162">
        <v>1952</v>
      </c>
      <c r="B1162" s="1" t="s">
        <v>23</v>
      </c>
      <c r="C1162">
        <v>8</v>
      </c>
    </row>
    <row r="1163" spans="1:3" x14ac:dyDescent="0.5">
      <c r="A1163">
        <v>1953</v>
      </c>
      <c r="B1163" s="1" t="s">
        <v>23</v>
      </c>
      <c r="C1163">
        <v>6</v>
      </c>
    </row>
    <row r="1164" spans="1:3" x14ac:dyDescent="0.5">
      <c r="A1164">
        <v>1954</v>
      </c>
      <c r="B1164" s="1" t="s">
        <v>23</v>
      </c>
      <c r="C1164">
        <v>-7</v>
      </c>
    </row>
    <row r="1165" spans="1:3" x14ac:dyDescent="0.5">
      <c r="A1165">
        <v>1955</v>
      </c>
      <c r="B1165" s="1" t="s">
        <v>23</v>
      </c>
      <c r="C1165">
        <v>-14</v>
      </c>
    </row>
    <row r="1166" spans="1:3" x14ac:dyDescent="0.5">
      <c r="A1166">
        <v>1956</v>
      </c>
      <c r="B1166" s="1" t="s">
        <v>23</v>
      </c>
      <c r="C1166">
        <v>-19</v>
      </c>
    </row>
    <row r="1167" spans="1:3" x14ac:dyDescent="0.5">
      <c r="A1167">
        <v>1957</v>
      </c>
      <c r="B1167" s="1" t="s">
        <v>23</v>
      </c>
      <c r="C1167">
        <v>8</v>
      </c>
    </row>
    <row r="1168" spans="1:3" x14ac:dyDescent="0.5">
      <c r="A1168">
        <v>1958</v>
      </c>
      <c r="B1168" s="1" t="s">
        <v>23</v>
      </c>
      <c r="C1168">
        <v>-5</v>
      </c>
    </row>
    <row r="1169" spans="1:3" x14ac:dyDescent="0.5">
      <c r="A1169">
        <v>1959</v>
      </c>
      <c r="B1169" s="1" t="s">
        <v>23</v>
      </c>
      <c r="C1169">
        <v>-5</v>
      </c>
    </row>
    <row r="1170" spans="1:3" x14ac:dyDescent="0.5">
      <c r="A1170">
        <v>1960</v>
      </c>
      <c r="B1170" s="1" t="s">
        <v>23</v>
      </c>
      <c r="C1170">
        <v>4</v>
      </c>
    </row>
    <row r="1171" spans="1:3" x14ac:dyDescent="0.5">
      <c r="A1171">
        <v>1961</v>
      </c>
      <c r="B1171" s="1" t="s">
        <v>23</v>
      </c>
      <c r="C1171">
        <v>5</v>
      </c>
    </row>
    <row r="1172" spans="1:3" x14ac:dyDescent="0.5">
      <c r="A1172">
        <v>1962</v>
      </c>
      <c r="B1172" s="1" t="s">
        <v>23</v>
      </c>
      <c r="C1172">
        <v>-2</v>
      </c>
    </row>
    <row r="1173" spans="1:3" x14ac:dyDescent="0.5">
      <c r="A1173">
        <v>1963</v>
      </c>
      <c r="B1173" s="1" t="s">
        <v>23</v>
      </c>
      <c r="C1173">
        <v>20</v>
      </c>
    </row>
    <row r="1174" spans="1:3" x14ac:dyDescent="0.5">
      <c r="A1174">
        <v>1964</v>
      </c>
      <c r="B1174" s="1" t="s">
        <v>23</v>
      </c>
      <c r="C1174">
        <v>-28</v>
      </c>
    </row>
    <row r="1175" spans="1:3" x14ac:dyDescent="0.5">
      <c r="A1175">
        <v>1965</v>
      </c>
      <c r="B1175" s="1" t="s">
        <v>23</v>
      </c>
      <c r="C1175">
        <v>-12</v>
      </c>
    </row>
    <row r="1176" spans="1:3" x14ac:dyDescent="0.5">
      <c r="A1176">
        <v>1966</v>
      </c>
      <c r="B1176" s="1" t="s">
        <v>23</v>
      </c>
      <c r="C1176">
        <v>-2</v>
      </c>
    </row>
    <row r="1177" spans="1:3" x14ac:dyDescent="0.5">
      <c r="A1177">
        <v>1967</v>
      </c>
      <c r="B1177" s="1" t="s">
        <v>23</v>
      </c>
      <c r="C1177">
        <v>-4</v>
      </c>
    </row>
    <row r="1178" spans="1:3" x14ac:dyDescent="0.5">
      <c r="A1178">
        <v>1968</v>
      </c>
      <c r="B1178" s="1" t="s">
        <v>23</v>
      </c>
      <c r="C1178">
        <v>-19</v>
      </c>
    </row>
    <row r="1179" spans="1:3" x14ac:dyDescent="0.5">
      <c r="A1179">
        <v>1969</v>
      </c>
      <c r="B1179" s="1" t="s">
        <v>23</v>
      </c>
      <c r="C1179">
        <v>10</v>
      </c>
    </row>
    <row r="1180" spans="1:3" x14ac:dyDescent="0.5">
      <c r="A1180">
        <v>1970</v>
      </c>
      <c r="B1180" s="1" t="s">
        <v>23</v>
      </c>
      <c r="C1180">
        <v>11</v>
      </c>
    </row>
    <row r="1181" spans="1:3" x14ac:dyDescent="0.5">
      <c r="A1181">
        <v>1971</v>
      </c>
      <c r="B1181" s="1" t="s">
        <v>23</v>
      </c>
      <c r="C1181">
        <v>0</v>
      </c>
    </row>
    <row r="1182" spans="1:3" x14ac:dyDescent="0.5">
      <c r="A1182">
        <v>1972</v>
      </c>
      <c r="B1182" s="1" t="s">
        <v>23</v>
      </c>
      <c r="C1182">
        <v>4</v>
      </c>
    </row>
    <row r="1183" spans="1:3" x14ac:dyDescent="0.5">
      <c r="A1183">
        <v>1973</v>
      </c>
      <c r="B1183" s="1" t="s">
        <v>23</v>
      </c>
      <c r="C1183">
        <v>6</v>
      </c>
    </row>
    <row r="1184" spans="1:3" x14ac:dyDescent="0.5">
      <c r="A1184">
        <v>1974</v>
      </c>
      <c r="B1184" s="1" t="s">
        <v>23</v>
      </c>
      <c r="C1184">
        <v>-14</v>
      </c>
    </row>
    <row r="1185" spans="1:3" x14ac:dyDescent="0.5">
      <c r="A1185">
        <v>1975</v>
      </c>
      <c r="B1185" s="1" t="s">
        <v>23</v>
      </c>
      <c r="C1185">
        <v>-2</v>
      </c>
    </row>
    <row r="1186" spans="1:3" x14ac:dyDescent="0.5">
      <c r="A1186">
        <v>1976</v>
      </c>
      <c r="B1186" s="1" t="s">
        <v>23</v>
      </c>
      <c r="C1186">
        <v>-9</v>
      </c>
    </row>
    <row r="1187" spans="1:3" x14ac:dyDescent="0.5">
      <c r="A1187">
        <v>1977</v>
      </c>
      <c r="B1187" s="1" t="s">
        <v>23</v>
      </c>
      <c r="C1187">
        <v>2</v>
      </c>
    </row>
    <row r="1188" spans="1:3" x14ac:dyDescent="0.5">
      <c r="A1188">
        <v>1978</v>
      </c>
      <c r="B1188" s="1" t="s">
        <v>23</v>
      </c>
      <c r="C1188">
        <v>6</v>
      </c>
    </row>
    <row r="1189" spans="1:3" x14ac:dyDescent="0.5">
      <c r="A1189">
        <v>1979</v>
      </c>
      <c r="B1189" s="1" t="s">
        <v>23</v>
      </c>
      <c r="C1189">
        <v>26</v>
      </c>
    </row>
    <row r="1190" spans="1:3" x14ac:dyDescent="0.5">
      <c r="A1190">
        <v>1980</v>
      </c>
      <c r="B1190" s="1" t="s">
        <v>23</v>
      </c>
      <c r="C1190">
        <v>22</v>
      </c>
    </row>
    <row r="1191" spans="1:3" x14ac:dyDescent="0.5">
      <c r="A1191">
        <v>1981</v>
      </c>
      <c r="B1191" s="1" t="s">
        <v>23</v>
      </c>
      <c r="C1191">
        <v>18</v>
      </c>
    </row>
    <row r="1192" spans="1:3" x14ac:dyDescent="0.5">
      <c r="A1192">
        <v>1982</v>
      </c>
      <c r="B1192" s="1" t="s">
        <v>23</v>
      </c>
      <c r="C1192">
        <v>16</v>
      </c>
    </row>
    <row r="1193" spans="1:3" x14ac:dyDescent="0.5">
      <c r="A1193">
        <v>1983</v>
      </c>
      <c r="B1193" s="1" t="s">
        <v>23</v>
      </c>
      <c r="C1193">
        <v>38</v>
      </c>
    </row>
    <row r="1194" spans="1:3" x14ac:dyDescent="0.5">
      <c r="A1194">
        <v>1984</v>
      </c>
      <c r="B1194" s="1" t="s">
        <v>23</v>
      </c>
      <c r="C1194">
        <v>19</v>
      </c>
    </row>
    <row r="1195" spans="1:3" x14ac:dyDescent="0.5">
      <c r="A1195">
        <v>1985</v>
      </c>
      <c r="B1195" s="1" t="s">
        <v>23</v>
      </c>
      <c r="C1195">
        <v>15</v>
      </c>
    </row>
    <row r="1196" spans="1:3" x14ac:dyDescent="0.5">
      <c r="A1196">
        <v>1986</v>
      </c>
      <c r="B1196" s="1" t="s">
        <v>23</v>
      </c>
      <c r="C1196">
        <v>2</v>
      </c>
    </row>
    <row r="1197" spans="1:3" x14ac:dyDescent="0.5">
      <c r="A1197">
        <v>1987</v>
      </c>
      <c r="B1197" s="1" t="s">
        <v>23</v>
      </c>
      <c r="C1197">
        <v>40</v>
      </c>
    </row>
    <row r="1198" spans="1:3" x14ac:dyDescent="0.5">
      <c r="A1198">
        <v>1988</v>
      </c>
      <c r="B1198" s="1" t="s">
        <v>23</v>
      </c>
      <c r="C1198">
        <v>41</v>
      </c>
    </row>
    <row r="1199" spans="1:3" x14ac:dyDescent="0.5">
      <c r="A1199">
        <v>1989</v>
      </c>
      <c r="B1199" s="1" t="s">
        <v>23</v>
      </c>
      <c r="C1199">
        <v>37</v>
      </c>
    </row>
    <row r="1200" spans="1:3" x14ac:dyDescent="0.5">
      <c r="A1200">
        <v>1990</v>
      </c>
      <c r="B1200" s="1" t="s">
        <v>23</v>
      </c>
      <c r="C1200">
        <v>29</v>
      </c>
    </row>
    <row r="1201" spans="1:3" x14ac:dyDescent="0.5">
      <c r="A1201">
        <v>1991</v>
      </c>
      <c r="B1201" s="1" t="s">
        <v>23</v>
      </c>
      <c r="C1201">
        <v>48</v>
      </c>
    </row>
    <row r="1202" spans="1:3" x14ac:dyDescent="0.5">
      <c r="A1202">
        <v>1992</v>
      </c>
      <c r="B1202" s="1" t="s">
        <v>23</v>
      </c>
      <c r="C1202">
        <v>-1</v>
      </c>
    </row>
    <row r="1203" spans="1:3" x14ac:dyDescent="0.5">
      <c r="A1203">
        <v>1993</v>
      </c>
      <c r="B1203" s="1" t="s">
        <v>23</v>
      </c>
      <c r="C1203">
        <v>11</v>
      </c>
    </row>
    <row r="1204" spans="1:3" x14ac:dyDescent="0.5">
      <c r="A1204">
        <v>1994</v>
      </c>
      <c r="B1204" s="1" t="s">
        <v>23</v>
      </c>
      <c r="C1204">
        <v>34</v>
      </c>
    </row>
    <row r="1205" spans="1:3" x14ac:dyDescent="0.5">
      <c r="A1205">
        <v>1995</v>
      </c>
      <c r="B1205" s="1" t="s">
        <v>23</v>
      </c>
      <c r="C1205">
        <v>34</v>
      </c>
    </row>
    <row r="1206" spans="1:3" x14ac:dyDescent="0.5">
      <c r="A1206">
        <v>1996</v>
      </c>
      <c r="B1206" s="1" t="s">
        <v>23</v>
      </c>
      <c r="C1206">
        <v>26</v>
      </c>
    </row>
    <row r="1207" spans="1:3" x14ac:dyDescent="0.5">
      <c r="A1207">
        <v>1997</v>
      </c>
      <c r="B1207" s="1" t="s">
        <v>23</v>
      </c>
      <c r="C1207">
        <v>55</v>
      </c>
    </row>
    <row r="1208" spans="1:3" x14ac:dyDescent="0.5">
      <c r="A1208">
        <v>1998</v>
      </c>
      <c r="B1208" s="1" t="s">
        <v>23</v>
      </c>
      <c r="C1208">
        <v>46</v>
      </c>
    </row>
    <row r="1209" spans="1:3" x14ac:dyDescent="0.5">
      <c r="A1209">
        <v>1999</v>
      </c>
      <c r="B1209" s="1" t="s">
        <v>23</v>
      </c>
      <c r="C1209">
        <v>43</v>
      </c>
    </row>
    <row r="1210" spans="1:3" x14ac:dyDescent="0.5">
      <c r="A1210">
        <v>2000</v>
      </c>
      <c r="B1210" s="1" t="s">
        <v>23</v>
      </c>
      <c r="C1210">
        <v>43</v>
      </c>
    </row>
    <row r="1211" spans="1:3" x14ac:dyDescent="0.5">
      <c r="A1211">
        <v>2001</v>
      </c>
      <c r="B1211" s="1" t="s">
        <v>23</v>
      </c>
      <c r="C1211">
        <v>56</v>
      </c>
    </row>
    <row r="1212" spans="1:3" x14ac:dyDescent="0.5">
      <c r="A1212">
        <v>2002</v>
      </c>
      <c r="B1212" s="1" t="s">
        <v>23</v>
      </c>
      <c r="C1212">
        <v>64</v>
      </c>
    </row>
    <row r="1213" spans="1:3" x14ac:dyDescent="0.5">
      <c r="A1213">
        <v>2003</v>
      </c>
      <c r="B1213" s="1" t="s">
        <v>23</v>
      </c>
      <c r="C1213">
        <v>67</v>
      </c>
    </row>
    <row r="1214" spans="1:3" x14ac:dyDescent="0.5">
      <c r="A1214">
        <v>2004</v>
      </c>
      <c r="B1214" s="1" t="s">
        <v>23</v>
      </c>
      <c r="C1214">
        <v>53</v>
      </c>
    </row>
    <row r="1215" spans="1:3" x14ac:dyDescent="0.5">
      <c r="A1215">
        <v>2005</v>
      </c>
      <c r="B1215" s="1" t="s">
        <v>23</v>
      </c>
      <c r="C1215">
        <v>77</v>
      </c>
    </row>
    <row r="1216" spans="1:3" x14ac:dyDescent="0.5">
      <c r="A1216">
        <v>2006</v>
      </c>
      <c r="B1216" s="1" t="s">
        <v>23</v>
      </c>
      <c r="C1216">
        <v>64</v>
      </c>
    </row>
    <row r="1217" spans="1:3" x14ac:dyDescent="0.5">
      <c r="A1217">
        <v>2007</v>
      </c>
      <c r="B1217" s="1" t="s">
        <v>23</v>
      </c>
      <c r="C1217">
        <v>65</v>
      </c>
    </row>
    <row r="1218" spans="1:3" x14ac:dyDescent="0.5">
      <c r="A1218">
        <v>2008</v>
      </c>
      <c r="B1218" s="1" t="s">
        <v>23</v>
      </c>
      <c r="C1218">
        <v>64</v>
      </c>
    </row>
    <row r="1219" spans="1:3" x14ac:dyDescent="0.5">
      <c r="A1219">
        <v>2009</v>
      </c>
      <c r="B1219" s="1" t="s">
        <v>23</v>
      </c>
      <c r="C1219">
        <v>69</v>
      </c>
    </row>
    <row r="1220" spans="1:3" x14ac:dyDescent="0.5">
      <c r="A1220">
        <v>2010</v>
      </c>
      <c r="B1220" s="1" t="s">
        <v>23</v>
      </c>
      <c r="C1220">
        <v>61</v>
      </c>
    </row>
    <row r="1221" spans="1:3" x14ac:dyDescent="0.5">
      <c r="A1221">
        <v>2011</v>
      </c>
      <c r="B1221" s="1" t="s">
        <v>23</v>
      </c>
      <c r="C1221">
        <v>56</v>
      </c>
    </row>
    <row r="1222" spans="1:3" x14ac:dyDescent="0.5">
      <c r="A1222">
        <v>2012</v>
      </c>
      <c r="B1222" s="1" t="s">
        <v>23</v>
      </c>
      <c r="C1222">
        <v>75</v>
      </c>
    </row>
    <row r="1223" spans="1:3" x14ac:dyDescent="0.5">
      <c r="A1223">
        <v>2013</v>
      </c>
      <c r="B1223" s="1" t="s">
        <v>23</v>
      </c>
      <c r="C1223">
        <v>77</v>
      </c>
    </row>
    <row r="1224" spans="1:3" x14ac:dyDescent="0.5">
      <c r="A1224">
        <v>2014</v>
      </c>
      <c r="B1224" s="1" t="s">
        <v>23</v>
      </c>
      <c r="C1224">
        <v>90</v>
      </c>
    </row>
    <row r="1225" spans="1:3" x14ac:dyDescent="0.5">
      <c r="A1225">
        <v>2015</v>
      </c>
      <c r="B1225" s="1" t="s">
        <v>23</v>
      </c>
    </row>
    <row r="1226" spans="1:3" x14ac:dyDescent="0.5">
      <c r="A1226">
        <v>1880</v>
      </c>
      <c r="B1226" s="1" t="s">
        <v>24</v>
      </c>
      <c r="C1226">
        <v>-15</v>
      </c>
    </row>
    <row r="1227" spans="1:3" x14ac:dyDescent="0.5">
      <c r="A1227">
        <v>1881</v>
      </c>
      <c r="B1227" s="1" t="s">
        <v>24</v>
      </c>
      <c r="C1227">
        <v>-18</v>
      </c>
    </row>
    <row r="1228" spans="1:3" x14ac:dyDescent="0.5">
      <c r="A1228">
        <v>1882</v>
      </c>
      <c r="B1228" s="1" t="s">
        <v>24</v>
      </c>
      <c r="C1228">
        <v>-21</v>
      </c>
    </row>
    <row r="1229" spans="1:3" x14ac:dyDescent="0.5">
      <c r="A1229">
        <v>1883</v>
      </c>
      <c r="B1229" s="1" t="s">
        <v>24</v>
      </c>
      <c r="C1229">
        <v>-11</v>
      </c>
    </row>
    <row r="1230" spans="1:3" x14ac:dyDescent="0.5">
      <c r="A1230">
        <v>1884</v>
      </c>
      <c r="B1230" s="1" t="s">
        <v>24</v>
      </c>
      <c r="C1230">
        <v>-22</v>
      </c>
    </row>
    <row r="1231" spans="1:3" x14ac:dyDescent="0.5">
      <c r="A1231">
        <v>1885</v>
      </c>
      <c r="B1231" s="1" t="s">
        <v>24</v>
      </c>
      <c r="C1231">
        <v>-19</v>
      </c>
    </row>
    <row r="1232" spans="1:3" x14ac:dyDescent="0.5">
      <c r="A1232">
        <v>1886</v>
      </c>
      <c r="B1232" s="1" t="s">
        <v>24</v>
      </c>
      <c r="C1232">
        <v>-25</v>
      </c>
    </row>
    <row r="1233" spans="1:3" x14ac:dyDescent="0.5">
      <c r="A1233">
        <v>1887</v>
      </c>
      <c r="B1233" s="1" t="s">
        <v>24</v>
      </c>
      <c r="C1233">
        <v>-32</v>
      </c>
    </row>
    <row r="1234" spans="1:3" x14ac:dyDescent="0.5">
      <c r="A1234">
        <v>1888</v>
      </c>
      <c r="B1234" s="1" t="s">
        <v>24</v>
      </c>
      <c r="C1234">
        <v>2</v>
      </c>
    </row>
    <row r="1235" spans="1:3" x14ac:dyDescent="0.5">
      <c r="A1235">
        <v>1889</v>
      </c>
      <c r="B1235" s="1" t="s">
        <v>24</v>
      </c>
      <c r="C1235">
        <v>-22</v>
      </c>
    </row>
    <row r="1236" spans="1:3" x14ac:dyDescent="0.5">
      <c r="A1236">
        <v>1890</v>
      </c>
      <c r="B1236" s="1" t="s">
        <v>24</v>
      </c>
      <c r="C1236">
        <v>-23</v>
      </c>
    </row>
    <row r="1237" spans="1:3" x14ac:dyDescent="0.5">
      <c r="A1237">
        <v>1891</v>
      </c>
      <c r="B1237" s="1" t="s">
        <v>24</v>
      </c>
      <c r="C1237">
        <v>-23</v>
      </c>
    </row>
    <row r="1238" spans="1:3" x14ac:dyDescent="0.5">
      <c r="A1238">
        <v>1892</v>
      </c>
      <c r="B1238" s="1" t="s">
        <v>24</v>
      </c>
      <c r="C1238">
        <v>-15</v>
      </c>
    </row>
    <row r="1239" spans="1:3" x14ac:dyDescent="0.5">
      <c r="A1239">
        <v>1893</v>
      </c>
      <c r="B1239" s="1" t="s">
        <v>24</v>
      </c>
      <c r="C1239">
        <v>-15</v>
      </c>
    </row>
    <row r="1240" spans="1:3" x14ac:dyDescent="0.5">
      <c r="A1240">
        <v>1894</v>
      </c>
      <c r="B1240" s="1" t="s">
        <v>24</v>
      </c>
      <c r="C1240">
        <v>-16</v>
      </c>
    </row>
    <row r="1241" spans="1:3" x14ac:dyDescent="0.5">
      <c r="A1241">
        <v>1895</v>
      </c>
      <c r="B1241" s="1" t="s">
        <v>24</v>
      </c>
      <c r="C1241">
        <v>-10</v>
      </c>
    </row>
    <row r="1242" spans="1:3" x14ac:dyDescent="0.5">
      <c r="A1242">
        <v>1896</v>
      </c>
      <c r="B1242" s="1" t="s">
        <v>24</v>
      </c>
      <c r="C1242">
        <v>6</v>
      </c>
    </row>
    <row r="1243" spans="1:3" x14ac:dyDescent="0.5">
      <c r="A1243">
        <v>1897</v>
      </c>
      <c r="B1243" s="1" t="s">
        <v>24</v>
      </c>
      <c r="C1243">
        <v>-9</v>
      </c>
    </row>
    <row r="1244" spans="1:3" x14ac:dyDescent="0.5">
      <c r="A1244">
        <v>1898</v>
      </c>
      <c r="B1244" s="1" t="s">
        <v>24</v>
      </c>
      <c r="C1244">
        <v>-33</v>
      </c>
    </row>
    <row r="1245" spans="1:3" x14ac:dyDescent="0.5">
      <c r="A1245">
        <v>1899</v>
      </c>
      <c r="B1245" s="1" t="s">
        <v>24</v>
      </c>
      <c r="C1245">
        <v>0</v>
      </c>
    </row>
    <row r="1246" spans="1:3" x14ac:dyDescent="0.5">
      <c r="A1246">
        <v>1900</v>
      </c>
      <c r="B1246" s="1" t="s">
        <v>24</v>
      </c>
      <c r="C1246">
        <v>10</v>
      </c>
    </row>
    <row r="1247" spans="1:3" x14ac:dyDescent="0.5">
      <c r="A1247">
        <v>1901</v>
      </c>
      <c r="B1247" s="1" t="s">
        <v>24</v>
      </c>
      <c r="C1247">
        <v>-27</v>
      </c>
    </row>
    <row r="1248" spans="1:3" x14ac:dyDescent="0.5">
      <c r="A1248">
        <v>1902</v>
      </c>
      <c r="B1248" s="1" t="s">
        <v>24</v>
      </c>
      <c r="C1248">
        <v>-26</v>
      </c>
    </row>
    <row r="1249" spans="1:3" x14ac:dyDescent="0.5">
      <c r="A1249">
        <v>1903</v>
      </c>
      <c r="B1249" s="1" t="s">
        <v>24</v>
      </c>
      <c r="C1249">
        <v>-41</v>
      </c>
    </row>
    <row r="1250" spans="1:3" x14ac:dyDescent="0.5">
      <c r="A1250">
        <v>1904</v>
      </c>
      <c r="B1250" s="1" t="s">
        <v>24</v>
      </c>
      <c r="C1250">
        <v>-34</v>
      </c>
    </row>
    <row r="1251" spans="1:3" x14ac:dyDescent="0.5">
      <c r="A1251">
        <v>1905</v>
      </c>
      <c r="B1251" s="1" t="s">
        <v>24</v>
      </c>
      <c r="C1251">
        <v>-22</v>
      </c>
    </row>
    <row r="1252" spans="1:3" x14ac:dyDescent="0.5">
      <c r="A1252">
        <v>1906</v>
      </c>
      <c r="B1252" s="1" t="s">
        <v>24</v>
      </c>
      <c r="C1252">
        <v>-20</v>
      </c>
    </row>
    <row r="1253" spans="1:3" x14ac:dyDescent="0.5">
      <c r="A1253">
        <v>1907</v>
      </c>
      <c r="B1253" s="1" t="s">
        <v>24</v>
      </c>
      <c r="C1253">
        <v>-23</v>
      </c>
    </row>
    <row r="1254" spans="1:3" x14ac:dyDescent="0.5">
      <c r="A1254">
        <v>1908</v>
      </c>
      <c r="B1254" s="1" t="s">
        <v>24</v>
      </c>
      <c r="C1254">
        <v>-42</v>
      </c>
    </row>
    <row r="1255" spans="1:3" x14ac:dyDescent="0.5">
      <c r="A1255">
        <v>1909</v>
      </c>
      <c r="B1255" s="1" t="s">
        <v>24</v>
      </c>
      <c r="C1255">
        <v>-39</v>
      </c>
    </row>
    <row r="1256" spans="1:3" x14ac:dyDescent="0.5">
      <c r="A1256">
        <v>1910</v>
      </c>
      <c r="B1256" s="1" t="s">
        <v>24</v>
      </c>
      <c r="C1256">
        <v>-38</v>
      </c>
    </row>
    <row r="1257" spans="1:3" x14ac:dyDescent="0.5">
      <c r="A1257">
        <v>1911</v>
      </c>
      <c r="B1257" s="1" t="s">
        <v>24</v>
      </c>
      <c r="C1257">
        <v>-25</v>
      </c>
    </row>
    <row r="1258" spans="1:3" x14ac:dyDescent="0.5">
      <c r="A1258">
        <v>1912</v>
      </c>
      <c r="B1258" s="1" t="s">
        <v>24</v>
      </c>
      <c r="C1258">
        <v>-55</v>
      </c>
    </row>
    <row r="1259" spans="1:3" x14ac:dyDescent="0.5">
      <c r="A1259">
        <v>1913</v>
      </c>
      <c r="B1259" s="1" t="s">
        <v>24</v>
      </c>
      <c r="C1259">
        <v>-33</v>
      </c>
    </row>
    <row r="1260" spans="1:3" x14ac:dyDescent="0.5">
      <c r="A1260">
        <v>1914</v>
      </c>
      <c r="B1260" s="1" t="s">
        <v>24</v>
      </c>
      <c r="C1260">
        <v>-5</v>
      </c>
    </row>
    <row r="1261" spans="1:3" x14ac:dyDescent="0.5">
      <c r="A1261">
        <v>1915</v>
      </c>
      <c r="B1261" s="1" t="s">
        <v>24</v>
      </c>
      <c r="C1261">
        <v>-21</v>
      </c>
    </row>
    <row r="1262" spans="1:3" x14ac:dyDescent="0.5">
      <c r="A1262">
        <v>1916</v>
      </c>
      <c r="B1262" s="1" t="s">
        <v>24</v>
      </c>
      <c r="C1262">
        <v>-27</v>
      </c>
    </row>
    <row r="1263" spans="1:3" x14ac:dyDescent="0.5">
      <c r="A1263">
        <v>1917</v>
      </c>
      <c r="B1263" s="1" t="s">
        <v>24</v>
      </c>
      <c r="C1263">
        <v>-34</v>
      </c>
    </row>
    <row r="1264" spans="1:3" x14ac:dyDescent="0.5">
      <c r="A1264">
        <v>1918</v>
      </c>
      <c r="B1264" s="1" t="s">
        <v>24</v>
      </c>
      <c r="C1264">
        <v>-2</v>
      </c>
    </row>
    <row r="1265" spans="1:3" x14ac:dyDescent="0.5">
      <c r="A1265">
        <v>1919</v>
      </c>
      <c r="B1265" s="1" t="s">
        <v>24</v>
      </c>
      <c r="C1265">
        <v>-14</v>
      </c>
    </row>
    <row r="1266" spans="1:3" x14ac:dyDescent="0.5">
      <c r="A1266">
        <v>1920</v>
      </c>
      <c r="B1266" s="1" t="s">
        <v>24</v>
      </c>
      <c r="C1266">
        <v>-27</v>
      </c>
    </row>
    <row r="1267" spans="1:3" x14ac:dyDescent="0.5">
      <c r="A1267">
        <v>1921</v>
      </c>
      <c r="B1267" s="1" t="s">
        <v>24</v>
      </c>
      <c r="C1267">
        <v>-5</v>
      </c>
    </row>
    <row r="1268" spans="1:3" x14ac:dyDescent="0.5">
      <c r="A1268">
        <v>1922</v>
      </c>
      <c r="B1268" s="1" t="s">
        <v>24</v>
      </c>
      <c r="C1268">
        <v>-30</v>
      </c>
    </row>
    <row r="1269" spans="1:3" x14ac:dyDescent="0.5">
      <c r="A1269">
        <v>1923</v>
      </c>
      <c r="B1269" s="1" t="s">
        <v>24</v>
      </c>
      <c r="C1269">
        <v>-10</v>
      </c>
    </row>
    <row r="1270" spans="1:3" x14ac:dyDescent="0.5">
      <c r="A1270">
        <v>1924</v>
      </c>
      <c r="B1270" s="1" t="s">
        <v>24</v>
      </c>
      <c r="C1270">
        <v>-34</v>
      </c>
    </row>
    <row r="1271" spans="1:3" x14ac:dyDescent="0.5">
      <c r="A1271">
        <v>1925</v>
      </c>
      <c r="B1271" s="1" t="s">
        <v>24</v>
      </c>
      <c r="C1271">
        <v>-16</v>
      </c>
    </row>
    <row r="1272" spans="1:3" x14ac:dyDescent="0.5">
      <c r="A1272">
        <v>1926</v>
      </c>
      <c r="B1272" s="1" t="s">
        <v>24</v>
      </c>
      <c r="C1272">
        <v>-10</v>
      </c>
    </row>
    <row r="1273" spans="1:3" x14ac:dyDescent="0.5">
      <c r="A1273">
        <v>1927</v>
      </c>
      <c r="B1273" s="1" t="s">
        <v>24</v>
      </c>
      <c r="C1273">
        <v>1</v>
      </c>
    </row>
    <row r="1274" spans="1:3" x14ac:dyDescent="0.5">
      <c r="A1274">
        <v>1928</v>
      </c>
      <c r="B1274" s="1" t="s">
        <v>24</v>
      </c>
      <c r="C1274">
        <v>-18</v>
      </c>
    </row>
    <row r="1275" spans="1:3" x14ac:dyDescent="0.5">
      <c r="A1275">
        <v>1929</v>
      </c>
      <c r="B1275" s="1" t="s">
        <v>24</v>
      </c>
      <c r="C1275">
        <v>-14</v>
      </c>
    </row>
    <row r="1276" spans="1:3" x14ac:dyDescent="0.5">
      <c r="A1276">
        <v>1930</v>
      </c>
      <c r="B1276" s="1" t="s">
        <v>24</v>
      </c>
      <c r="C1276">
        <v>-8</v>
      </c>
    </row>
    <row r="1277" spans="1:3" x14ac:dyDescent="0.5">
      <c r="A1277">
        <v>1931</v>
      </c>
      <c r="B1277" s="1" t="s">
        <v>24</v>
      </c>
      <c r="C1277">
        <v>0</v>
      </c>
    </row>
    <row r="1278" spans="1:3" x14ac:dyDescent="0.5">
      <c r="A1278">
        <v>1932</v>
      </c>
      <c r="B1278" s="1" t="s">
        <v>24</v>
      </c>
      <c r="C1278">
        <v>-9</v>
      </c>
    </row>
    <row r="1279" spans="1:3" x14ac:dyDescent="0.5">
      <c r="A1279">
        <v>1933</v>
      </c>
      <c r="B1279" s="1" t="s">
        <v>24</v>
      </c>
      <c r="C1279">
        <v>-23</v>
      </c>
    </row>
    <row r="1280" spans="1:3" x14ac:dyDescent="0.5">
      <c r="A1280">
        <v>1934</v>
      </c>
      <c r="B1280" s="1" t="s">
        <v>24</v>
      </c>
      <c r="C1280">
        <v>-10</v>
      </c>
    </row>
    <row r="1281" spans="1:3" x14ac:dyDescent="0.5">
      <c r="A1281">
        <v>1935</v>
      </c>
      <c r="B1281" s="1" t="s">
        <v>24</v>
      </c>
      <c r="C1281">
        <v>-7</v>
      </c>
    </row>
    <row r="1282" spans="1:3" x14ac:dyDescent="0.5">
      <c r="A1282">
        <v>1936</v>
      </c>
      <c r="B1282" s="1" t="s">
        <v>24</v>
      </c>
      <c r="C1282">
        <v>-2</v>
      </c>
    </row>
    <row r="1283" spans="1:3" x14ac:dyDescent="0.5">
      <c r="A1283">
        <v>1937</v>
      </c>
      <c r="B1283" s="1" t="s">
        <v>24</v>
      </c>
      <c r="C1283">
        <v>10</v>
      </c>
    </row>
    <row r="1284" spans="1:3" x14ac:dyDescent="0.5">
      <c r="A1284">
        <v>1938</v>
      </c>
      <c r="B1284" s="1" t="s">
        <v>24</v>
      </c>
      <c r="C1284">
        <v>13</v>
      </c>
    </row>
    <row r="1285" spans="1:3" x14ac:dyDescent="0.5">
      <c r="A1285">
        <v>1939</v>
      </c>
      <c r="B1285" s="1" t="s">
        <v>24</v>
      </c>
      <c r="C1285">
        <v>-3</v>
      </c>
    </row>
    <row r="1286" spans="1:3" x14ac:dyDescent="0.5">
      <c r="A1286">
        <v>1940</v>
      </c>
      <c r="B1286" s="1" t="s">
        <v>24</v>
      </c>
      <c r="C1286">
        <v>8</v>
      </c>
    </row>
    <row r="1287" spans="1:3" x14ac:dyDescent="0.5">
      <c r="A1287">
        <v>1941</v>
      </c>
      <c r="B1287" s="1" t="s">
        <v>24</v>
      </c>
      <c r="C1287">
        <v>25</v>
      </c>
    </row>
    <row r="1288" spans="1:3" x14ac:dyDescent="0.5">
      <c r="A1288">
        <v>1942</v>
      </c>
      <c r="B1288" s="1" t="s">
        <v>24</v>
      </c>
      <c r="C1288">
        <v>8</v>
      </c>
    </row>
    <row r="1289" spans="1:3" x14ac:dyDescent="0.5">
      <c r="A1289">
        <v>1943</v>
      </c>
      <c r="B1289" s="1" t="s">
        <v>24</v>
      </c>
      <c r="C1289">
        <v>31</v>
      </c>
    </row>
    <row r="1290" spans="1:3" x14ac:dyDescent="0.5">
      <c r="A1290">
        <v>1944</v>
      </c>
      <c r="B1290" s="1" t="s">
        <v>24</v>
      </c>
      <c r="C1290">
        <v>28</v>
      </c>
    </row>
    <row r="1291" spans="1:3" x14ac:dyDescent="0.5">
      <c r="A1291">
        <v>1945</v>
      </c>
      <c r="B1291" s="1" t="s">
        <v>24</v>
      </c>
      <c r="C1291">
        <v>22</v>
      </c>
    </row>
    <row r="1292" spans="1:3" x14ac:dyDescent="0.5">
      <c r="A1292">
        <v>1946</v>
      </c>
      <c r="B1292" s="1" t="s">
        <v>24</v>
      </c>
      <c r="C1292">
        <v>-6</v>
      </c>
    </row>
    <row r="1293" spans="1:3" x14ac:dyDescent="0.5">
      <c r="A1293">
        <v>1947</v>
      </c>
      <c r="B1293" s="1" t="s">
        <v>24</v>
      </c>
      <c r="C1293">
        <v>7</v>
      </c>
    </row>
    <row r="1294" spans="1:3" x14ac:dyDescent="0.5">
      <c r="A1294">
        <v>1948</v>
      </c>
      <c r="B1294" s="1" t="s">
        <v>24</v>
      </c>
      <c r="C1294">
        <v>-6</v>
      </c>
    </row>
    <row r="1295" spans="1:3" x14ac:dyDescent="0.5">
      <c r="A1295">
        <v>1949</v>
      </c>
      <c r="B1295" s="1" t="s">
        <v>24</v>
      </c>
      <c r="C1295">
        <v>-3</v>
      </c>
    </row>
    <row r="1296" spans="1:3" x14ac:dyDescent="0.5">
      <c r="A1296">
        <v>1950</v>
      </c>
      <c r="B1296" s="1" t="s">
        <v>24</v>
      </c>
      <c r="C1296">
        <v>-18</v>
      </c>
    </row>
    <row r="1297" spans="1:3" x14ac:dyDescent="0.5">
      <c r="A1297">
        <v>1951</v>
      </c>
      <c r="B1297" s="1" t="s">
        <v>24</v>
      </c>
      <c r="C1297">
        <v>9</v>
      </c>
    </row>
    <row r="1298" spans="1:3" x14ac:dyDescent="0.5">
      <c r="A1298">
        <v>1952</v>
      </c>
      <c r="B1298" s="1" t="s">
        <v>24</v>
      </c>
      <c r="C1298">
        <v>-3</v>
      </c>
    </row>
    <row r="1299" spans="1:3" x14ac:dyDescent="0.5">
      <c r="A1299">
        <v>1953</v>
      </c>
      <c r="B1299" s="1" t="s">
        <v>24</v>
      </c>
      <c r="C1299">
        <v>5</v>
      </c>
    </row>
    <row r="1300" spans="1:3" x14ac:dyDescent="0.5">
      <c r="A1300">
        <v>1954</v>
      </c>
      <c r="B1300" s="1" t="s">
        <v>24</v>
      </c>
      <c r="C1300">
        <v>0</v>
      </c>
    </row>
    <row r="1301" spans="1:3" x14ac:dyDescent="0.5">
      <c r="A1301">
        <v>1955</v>
      </c>
      <c r="B1301" s="1" t="s">
        <v>24</v>
      </c>
      <c r="C1301">
        <v>-5</v>
      </c>
    </row>
    <row r="1302" spans="1:3" x14ac:dyDescent="0.5">
      <c r="A1302">
        <v>1956</v>
      </c>
      <c r="B1302" s="1" t="s">
        <v>24</v>
      </c>
      <c r="C1302">
        <v>-24</v>
      </c>
    </row>
    <row r="1303" spans="1:3" x14ac:dyDescent="0.5">
      <c r="A1303">
        <v>1957</v>
      </c>
      <c r="B1303" s="1" t="s">
        <v>24</v>
      </c>
      <c r="C1303">
        <v>0</v>
      </c>
    </row>
    <row r="1304" spans="1:3" x14ac:dyDescent="0.5">
      <c r="A1304">
        <v>1958</v>
      </c>
      <c r="B1304" s="1" t="s">
        <v>24</v>
      </c>
      <c r="C1304">
        <v>3</v>
      </c>
    </row>
    <row r="1305" spans="1:3" x14ac:dyDescent="0.5">
      <c r="A1305">
        <v>1959</v>
      </c>
      <c r="B1305" s="1" t="s">
        <v>24</v>
      </c>
      <c r="C1305">
        <v>-9</v>
      </c>
    </row>
    <row r="1306" spans="1:3" x14ac:dyDescent="0.5">
      <c r="A1306">
        <v>1960</v>
      </c>
      <c r="B1306" s="1" t="s">
        <v>24</v>
      </c>
      <c r="C1306">
        <v>8</v>
      </c>
    </row>
    <row r="1307" spans="1:3" x14ac:dyDescent="0.5">
      <c r="A1307">
        <v>1961</v>
      </c>
      <c r="B1307" s="1" t="s">
        <v>24</v>
      </c>
      <c r="C1307">
        <v>0</v>
      </c>
    </row>
    <row r="1308" spans="1:3" x14ac:dyDescent="0.5">
      <c r="A1308">
        <v>1962</v>
      </c>
      <c r="B1308" s="1" t="s">
        <v>24</v>
      </c>
      <c r="C1308">
        <v>-4</v>
      </c>
    </row>
    <row r="1309" spans="1:3" x14ac:dyDescent="0.5">
      <c r="A1309">
        <v>1963</v>
      </c>
      <c r="B1309" s="1" t="s">
        <v>24</v>
      </c>
      <c r="C1309">
        <v>14</v>
      </c>
    </row>
    <row r="1310" spans="1:3" x14ac:dyDescent="0.5">
      <c r="A1310">
        <v>1964</v>
      </c>
      <c r="B1310" s="1" t="s">
        <v>24</v>
      </c>
      <c r="C1310">
        <v>-30</v>
      </c>
    </row>
    <row r="1311" spans="1:3" x14ac:dyDescent="0.5">
      <c r="A1311">
        <v>1965</v>
      </c>
      <c r="B1311" s="1" t="s">
        <v>24</v>
      </c>
      <c r="C1311">
        <v>-4</v>
      </c>
    </row>
    <row r="1312" spans="1:3" x14ac:dyDescent="0.5">
      <c r="A1312">
        <v>1966</v>
      </c>
      <c r="B1312" s="1" t="s">
        <v>24</v>
      </c>
      <c r="C1312">
        <v>-15</v>
      </c>
    </row>
    <row r="1313" spans="1:3" x14ac:dyDescent="0.5">
      <c r="A1313">
        <v>1967</v>
      </c>
      <c r="B1313" s="1" t="s">
        <v>24</v>
      </c>
      <c r="C1313">
        <v>7</v>
      </c>
    </row>
    <row r="1314" spans="1:3" x14ac:dyDescent="0.5">
      <c r="A1314">
        <v>1968</v>
      </c>
      <c r="B1314" s="1" t="s">
        <v>24</v>
      </c>
      <c r="C1314">
        <v>11</v>
      </c>
    </row>
    <row r="1315" spans="1:3" x14ac:dyDescent="0.5">
      <c r="A1315">
        <v>1969</v>
      </c>
      <c r="B1315" s="1" t="s">
        <v>24</v>
      </c>
      <c r="C1315">
        <v>9</v>
      </c>
    </row>
    <row r="1316" spans="1:3" x14ac:dyDescent="0.5">
      <c r="A1316">
        <v>1970</v>
      </c>
      <c r="B1316" s="1" t="s">
        <v>24</v>
      </c>
      <c r="C1316">
        <v>4</v>
      </c>
    </row>
    <row r="1317" spans="1:3" x14ac:dyDescent="0.5">
      <c r="A1317">
        <v>1971</v>
      </c>
      <c r="B1317" s="1" t="s">
        <v>24</v>
      </c>
      <c r="C1317">
        <v>-6</v>
      </c>
    </row>
    <row r="1318" spans="1:3" x14ac:dyDescent="0.5">
      <c r="A1318">
        <v>1972</v>
      </c>
      <c r="B1318" s="1" t="s">
        <v>24</v>
      </c>
      <c r="C1318">
        <v>7</v>
      </c>
    </row>
    <row r="1319" spans="1:3" x14ac:dyDescent="0.5">
      <c r="A1319">
        <v>1973</v>
      </c>
      <c r="B1319" s="1" t="s">
        <v>24</v>
      </c>
      <c r="C1319">
        <v>12</v>
      </c>
    </row>
    <row r="1320" spans="1:3" x14ac:dyDescent="0.5">
      <c r="A1320">
        <v>1974</v>
      </c>
      <c r="B1320" s="1" t="s">
        <v>24</v>
      </c>
      <c r="C1320">
        <v>-7</v>
      </c>
    </row>
    <row r="1321" spans="1:3" x14ac:dyDescent="0.5">
      <c r="A1321">
        <v>1975</v>
      </c>
      <c r="B1321" s="1" t="s">
        <v>24</v>
      </c>
      <c r="C1321">
        <v>-9</v>
      </c>
    </row>
    <row r="1322" spans="1:3" x14ac:dyDescent="0.5">
      <c r="A1322">
        <v>1976</v>
      </c>
      <c r="B1322" s="1" t="s">
        <v>24</v>
      </c>
      <c r="C1322">
        <v>-26</v>
      </c>
    </row>
    <row r="1323" spans="1:3" x14ac:dyDescent="0.5">
      <c r="A1323">
        <v>1977</v>
      </c>
      <c r="B1323" s="1" t="s">
        <v>24</v>
      </c>
      <c r="C1323">
        <v>5</v>
      </c>
    </row>
    <row r="1324" spans="1:3" x14ac:dyDescent="0.5">
      <c r="A1324">
        <v>1978</v>
      </c>
      <c r="B1324" s="1" t="s">
        <v>24</v>
      </c>
      <c r="C1324">
        <v>1</v>
      </c>
    </row>
    <row r="1325" spans="1:3" x14ac:dyDescent="0.5">
      <c r="A1325">
        <v>1979</v>
      </c>
      <c r="B1325" s="1" t="s">
        <v>24</v>
      </c>
      <c r="C1325">
        <v>26</v>
      </c>
    </row>
    <row r="1326" spans="1:3" x14ac:dyDescent="0.5">
      <c r="A1326">
        <v>1980</v>
      </c>
      <c r="B1326" s="1" t="s">
        <v>24</v>
      </c>
      <c r="C1326">
        <v>19</v>
      </c>
    </row>
    <row r="1327" spans="1:3" x14ac:dyDescent="0.5">
      <c r="A1327">
        <v>1981</v>
      </c>
      <c r="B1327" s="1" t="s">
        <v>24</v>
      </c>
      <c r="C1327">
        <v>14</v>
      </c>
    </row>
    <row r="1328" spans="1:3" x14ac:dyDescent="0.5">
      <c r="A1328">
        <v>1982</v>
      </c>
      <c r="B1328" s="1" t="s">
        <v>24</v>
      </c>
      <c r="C1328">
        <v>14</v>
      </c>
    </row>
    <row r="1329" spans="1:3" x14ac:dyDescent="0.5">
      <c r="A1329">
        <v>1983</v>
      </c>
      <c r="B1329" s="1" t="s">
        <v>24</v>
      </c>
      <c r="C1329">
        <v>16</v>
      </c>
    </row>
    <row r="1330" spans="1:3" x14ac:dyDescent="0.5">
      <c r="A1330">
        <v>1984</v>
      </c>
      <c r="B1330" s="1" t="s">
        <v>24</v>
      </c>
      <c r="C1330">
        <v>15</v>
      </c>
    </row>
    <row r="1331" spans="1:3" x14ac:dyDescent="0.5">
      <c r="A1331">
        <v>1985</v>
      </c>
      <c r="B1331" s="1" t="s">
        <v>24</v>
      </c>
      <c r="C1331">
        <v>13</v>
      </c>
    </row>
    <row r="1332" spans="1:3" x14ac:dyDescent="0.5">
      <c r="A1332">
        <v>1986</v>
      </c>
      <c r="B1332" s="1" t="s">
        <v>24</v>
      </c>
      <c r="C1332">
        <v>14</v>
      </c>
    </row>
    <row r="1333" spans="1:3" x14ac:dyDescent="0.5">
      <c r="A1333">
        <v>1987</v>
      </c>
      <c r="B1333" s="1" t="s">
        <v>24</v>
      </c>
      <c r="C1333">
        <v>33</v>
      </c>
    </row>
    <row r="1334" spans="1:3" x14ac:dyDescent="0.5">
      <c r="A1334">
        <v>1988</v>
      </c>
      <c r="B1334" s="1" t="s">
        <v>24</v>
      </c>
      <c r="C1334">
        <v>38</v>
      </c>
    </row>
    <row r="1335" spans="1:3" x14ac:dyDescent="0.5">
      <c r="A1335">
        <v>1989</v>
      </c>
      <c r="B1335" s="1" t="s">
        <v>24</v>
      </c>
      <c r="C1335">
        <v>33</v>
      </c>
    </row>
    <row r="1336" spans="1:3" x14ac:dyDescent="0.5">
      <c r="A1336">
        <v>1990</v>
      </c>
      <c r="B1336" s="1" t="s">
        <v>24</v>
      </c>
      <c r="C1336">
        <v>42</v>
      </c>
    </row>
    <row r="1337" spans="1:3" x14ac:dyDescent="0.5">
      <c r="A1337">
        <v>1991</v>
      </c>
      <c r="B1337" s="1" t="s">
        <v>24</v>
      </c>
      <c r="C1337">
        <v>31</v>
      </c>
    </row>
    <row r="1338" spans="1:3" x14ac:dyDescent="0.5">
      <c r="A1338">
        <v>1992</v>
      </c>
      <c r="B1338" s="1" t="s">
        <v>24</v>
      </c>
      <c r="C1338">
        <v>10</v>
      </c>
    </row>
    <row r="1339" spans="1:3" x14ac:dyDescent="0.5">
      <c r="A1339">
        <v>1993</v>
      </c>
      <c r="B1339" s="1" t="s">
        <v>24</v>
      </c>
      <c r="C1339">
        <v>23</v>
      </c>
    </row>
    <row r="1340" spans="1:3" x14ac:dyDescent="0.5">
      <c r="A1340">
        <v>1994</v>
      </c>
      <c r="B1340" s="1" t="s">
        <v>24</v>
      </c>
      <c r="C1340">
        <v>42</v>
      </c>
    </row>
    <row r="1341" spans="1:3" x14ac:dyDescent="0.5">
      <c r="A1341">
        <v>1995</v>
      </c>
      <c r="B1341" s="1" t="s">
        <v>24</v>
      </c>
      <c r="C1341">
        <v>49</v>
      </c>
    </row>
    <row r="1342" spans="1:3" x14ac:dyDescent="0.5">
      <c r="A1342">
        <v>1996</v>
      </c>
      <c r="B1342" s="1" t="s">
        <v>24</v>
      </c>
      <c r="C1342">
        <v>21</v>
      </c>
    </row>
    <row r="1343" spans="1:3" x14ac:dyDescent="0.5">
      <c r="A1343">
        <v>1997</v>
      </c>
      <c r="B1343" s="1" t="s">
        <v>24</v>
      </c>
      <c r="C1343">
        <v>65</v>
      </c>
    </row>
    <row r="1344" spans="1:3" x14ac:dyDescent="0.5">
      <c r="A1344">
        <v>1998</v>
      </c>
      <c r="B1344" s="1" t="s">
        <v>24</v>
      </c>
      <c r="C1344">
        <v>46</v>
      </c>
    </row>
    <row r="1345" spans="1:3" x14ac:dyDescent="0.5">
      <c r="A1345">
        <v>1999</v>
      </c>
      <c r="B1345" s="1" t="s">
        <v>24</v>
      </c>
      <c r="C1345">
        <v>42</v>
      </c>
    </row>
    <row r="1346" spans="1:3" x14ac:dyDescent="0.5">
      <c r="A1346">
        <v>2000</v>
      </c>
      <c r="B1346" s="1" t="s">
        <v>24</v>
      </c>
      <c r="C1346">
        <v>29</v>
      </c>
    </row>
    <row r="1347" spans="1:3" x14ac:dyDescent="0.5">
      <c r="A1347">
        <v>2001</v>
      </c>
      <c r="B1347" s="1" t="s">
        <v>24</v>
      </c>
      <c r="C1347">
        <v>52</v>
      </c>
    </row>
    <row r="1348" spans="1:3" x14ac:dyDescent="0.5">
      <c r="A1348">
        <v>2002</v>
      </c>
      <c r="B1348" s="1" t="s">
        <v>24</v>
      </c>
      <c r="C1348">
        <v>57</v>
      </c>
    </row>
    <row r="1349" spans="1:3" x14ac:dyDescent="0.5">
      <c r="A1349">
        <v>2003</v>
      </c>
      <c r="B1349" s="1" t="s">
        <v>24</v>
      </c>
      <c r="C1349">
        <v>75</v>
      </c>
    </row>
    <row r="1350" spans="1:3" x14ac:dyDescent="0.5">
      <c r="A1350">
        <v>2004</v>
      </c>
      <c r="B1350" s="1" t="s">
        <v>24</v>
      </c>
      <c r="C1350">
        <v>67</v>
      </c>
    </row>
    <row r="1351" spans="1:3" x14ac:dyDescent="0.5">
      <c r="A1351">
        <v>2005</v>
      </c>
      <c r="B1351" s="1" t="s">
        <v>24</v>
      </c>
      <c r="C1351">
        <v>80</v>
      </c>
    </row>
    <row r="1352" spans="1:3" x14ac:dyDescent="0.5">
      <c r="A1352">
        <v>2006</v>
      </c>
      <c r="B1352" s="1" t="s">
        <v>24</v>
      </c>
      <c r="C1352">
        <v>70</v>
      </c>
    </row>
    <row r="1353" spans="1:3" x14ac:dyDescent="0.5">
      <c r="A1353">
        <v>2007</v>
      </c>
      <c r="B1353" s="1" t="s">
        <v>24</v>
      </c>
      <c r="C1353">
        <v>61</v>
      </c>
    </row>
    <row r="1354" spans="1:3" x14ac:dyDescent="0.5">
      <c r="A1354">
        <v>2008</v>
      </c>
      <c r="B1354" s="1" t="s">
        <v>24</v>
      </c>
      <c r="C1354">
        <v>67</v>
      </c>
    </row>
    <row r="1355" spans="1:3" x14ac:dyDescent="0.5">
      <c r="A1355">
        <v>2009</v>
      </c>
      <c r="B1355" s="1" t="s">
        <v>24</v>
      </c>
      <c r="C1355">
        <v>65</v>
      </c>
    </row>
    <row r="1356" spans="1:3" x14ac:dyDescent="0.5">
      <c r="A1356">
        <v>2010</v>
      </c>
      <c r="B1356" s="1" t="s">
        <v>24</v>
      </c>
      <c r="C1356">
        <v>71</v>
      </c>
    </row>
    <row r="1357" spans="1:3" x14ac:dyDescent="0.5">
      <c r="A1357">
        <v>2011</v>
      </c>
      <c r="B1357" s="1" t="s">
        <v>24</v>
      </c>
      <c r="C1357">
        <v>67</v>
      </c>
    </row>
    <row r="1358" spans="1:3" x14ac:dyDescent="0.5">
      <c r="A1358">
        <v>2012</v>
      </c>
      <c r="B1358" s="1" t="s">
        <v>24</v>
      </c>
      <c r="C1358">
        <v>79</v>
      </c>
    </row>
    <row r="1359" spans="1:3" x14ac:dyDescent="0.5">
      <c r="A1359">
        <v>2013</v>
      </c>
      <c r="B1359" s="1" t="s">
        <v>24</v>
      </c>
      <c r="C1359">
        <v>70</v>
      </c>
    </row>
    <row r="1360" spans="1:3" x14ac:dyDescent="0.5">
      <c r="A1360">
        <v>2014</v>
      </c>
      <c r="B1360" s="1" t="s">
        <v>24</v>
      </c>
      <c r="C1360">
        <v>86</v>
      </c>
    </row>
    <row r="1361" spans="1:3" x14ac:dyDescent="0.5">
      <c r="A1361">
        <v>2015</v>
      </c>
      <c r="B1361" s="1" t="s">
        <v>24</v>
      </c>
    </row>
    <row r="1362" spans="1:3" x14ac:dyDescent="0.5">
      <c r="A1362">
        <v>1880</v>
      </c>
      <c r="B1362" s="1" t="s">
        <v>25</v>
      </c>
      <c r="C1362">
        <v>-18</v>
      </c>
    </row>
    <row r="1363" spans="1:3" x14ac:dyDescent="0.5">
      <c r="A1363">
        <v>1881</v>
      </c>
      <c r="B1363" s="1" t="s">
        <v>25</v>
      </c>
      <c r="C1363">
        <v>-25</v>
      </c>
    </row>
    <row r="1364" spans="1:3" x14ac:dyDescent="0.5">
      <c r="A1364">
        <v>1882</v>
      </c>
      <c r="B1364" s="1" t="s">
        <v>25</v>
      </c>
      <c r="C1364">
        <v>-20</v>
      </c>
    </row>
    <row r="1365" spans="1:3" x14ac:dyDescent="0.5">
      <c r="A1365">
        <v>1883</v>
      </c>
      <c r="B1365" s="1" t="s">
        <v>25</v>
      </c>
      <c r="C1365">
        <v>-19</v>
      </c>
    </row>
    <row r="1366" spans="1:3" x14ac:dyDescent="0.5">
      <c r="A1366">
        <v>1884</v>
      </c>
      <c r="B1366" s="1" t="s">
        <v>25</v>
      </c>
      <c r="C1366">
        <v>-30</v>
      </c>
    </row>
    <row r="1367" spans="1:3" x14ac:dyDescent="0.5">
      <c r="A1367">
        <v>1885</v>
      </c>
      <c r="B1367" s="1" t="s">
        <v>25</v>
      </c>
      <c r="C1367">
        <v>-22</v>
      </c>
    </row>
    <row r="1368" spans="1:3" x14ac:dyDescent="0.5">
      <c r="A1368">
        <v>1886</v>
      </c>
      <c r="B1368" s="1" t="s">
        <v>25</v>
      </c>
      <c r="C1368">
        <v>-26</v>
      </c>
    </row>
    <row r="1369" spans="1:3" x14ac:dyDescent="0.5">
      <c r="A1369">
        <v>1887</v>
      </c>
      <c r="B1369" s="1" t="s">
        <v>25</v>
      </c>
      <c r="C1369">
        <v>-25</v>
      </c>
    </row>
    <row r="1370" spans="1:3" x14ac:dyDescent="0.5">
      <c r="A1370">
        <v>1888</v>
      </c>
      <c r="B1370" s="1" t="s">
        <v>25</v>
      </c>
      <c r="C1370">
        <v>0</v>
      </c>
    </row>
    <row r="1371" spans="1:3" x14ac:dyDescent="0.5">
      <c r="A1371">
        <v>1889</v>
      </c>
      <c r="B1371" s="1" t="s">
        <v>25</v>
      </c>
      <c r="C1371">
        <v>-30</v>
      </c>
    </row>
    <row r="1372" spans="1:3" x14ac:dyDescent="0.5">
      <c r="A1372">
        <v>1890</v>
      </c>
      <c r="B1372" s="1" t="s">
        <v>25</v>
      </c>
      <c r="C1372">
        <v>-37</v>
      </c>
    </row>
    <row r="1373" spans="1:3" x14ac:dyDescent="0.5">
      <c r="A1373">
        <v>1891</v>
      </c>
      <c r="B1373" s="1" t="s">
        <v>25</v>
      </c>
      <c r="C1373">
        <v>-36</v>
      </c>
    </row>
    <row r="1374" spans="1:3" x14ac:dyDescent="0.5">
      <c r="A1374">
        <v>1892</v>
      </c>
      <c r="B1374" s="1" t="s">
        <v>25</v>
      </c>
      <c r="C1374">
        <v>-49</v>
      </c>
    </row>
    <row r="1375" spans="1:3" x14ac:dyDescent="0.5">
      <c r="A1375">
        <v>1893</v>
      </c>
      <c r="B1375" s="1" t="s">
        <v>25</v>
      </c>
      <c r="C1375">
        <v>-16</v>
      </c>
    </row>
    <row r="1376" spans="1:3" x14ac:dyDescent="0.5">
      <c r="A1376">
        <v>1894</v>
      </c>
      <c r="B1376" s="1" t="s">
        <v>25</v>
      </c>
      <c r="C1376">
        <v>-24</v>
      </c>
    </row>
    <row r="1377" spans="1:3" x14ac:dyDescent="0.5">
      <c r="A1377">
        <v>1895</v>
      </c>
      <c r="B1377" s="1" t="s">
        <v>25</v>
      </c>
      <c r="C1377">
        <v>-15</v>
      </c>
    </row>
    <row r="1378" spans="1:3" x14ac:dyDescent="0.5">
      <c r="A1378">
        <v>1896</v>
      </c>
      <c r="B1378" s="1" t="s">
        <v>25</v>
      </c>
      <c r="C1378">
        <v>-15</v>
      </c>
    </row>
    <row r="1379" spans="1:3" x14ac:dyDescent="0.5">
      <c r="A1379">
        <v>1897</v>
      </c>
      <c r="B1379" s="1" t="s">
        <v>25</v>
      </c>
      <c r="C1379">
        <v>-18</v>
      </c>
    </row>
    <row r="1380" spans="1:3" x14ac:dyDescent="0.5">
      <c r="A1380">
        <v>1898</v>
      </c>
      <c r="B1380" s="1" t="s">
        <v>25</v>
      </c>
      <c r="C1380">
        <v>-35</v>
      </c>
    </row>
    <row r="1381" spans="1:3" x14ac:dyDescent="0.5">
      <c r="A1381">
        <v>1899</v>
      </c>
      <c r="B1381" s="1" t="s">
        <v>25</v>
      </c>
      <c r="C1381">
        <v>12</v>
      </c>
    </row>
    <row r="1382" spans="1:3" x14ac:dyDescent="0.5">
      <c r="A1382">
        <v>1900</v>
      </c>
      <c r="B1382" s="1" t="s">
        <v>25</v>
      </c>
      <c r="C1382">
        <v>-12</v>
      </c>
    </row>
    <row r="1383" spans="1:3" x14ac:dyDescent="0.5">
      <c r="A1383">
        <v>1901</v>
      </c>
      <c r="B1383" s="1" t="s">
        <v>25</v>
      </c>
      <c r="C1383">
        <v>-15</v>
      </c>
    </row>
    <row r="1384" spans="1:3" x14ac:dyDescent="0.5">
      <c r="A1384">
        <v>1902</v>
      </c>
      <c r="B1384" s="1" t="s">
        <v>25</v>
      </c>
      <c r="C1384">
        <v>-35</v>
      </c>
    </row>
    <row r="1385" spans="1:3" x14ac:dyDescent="0.5">
      <c r="A1385">
        <v>1903</v>
      </c>
      <c r="B1385" s="1" t="s">
        <v>25</v>
      </c>
      <c r="C1385">
        <v>-38</v>
      </c>
    </row>
    <row r="1386" spans="1:3" x14ac:dyDescent="0.5">
      <c r="A1386">
        <v>1904</v>
      </c>
      <c r="B1386" s="1" t="s">
        <v>25</v>
      </c>
      <c r="C1386">
        <v>-16</v>
      </c>
    </row>
    <row r="1387" spans="1:3" x14ac:dyDescent="0.5">
      <c r="A1387">
        <v>1905</v>
      </c>
      <c r="B1387" s="1" t="s">
        <v>25</v>
      </c>
      <c r="C1387">
        <v>-7</v>
      </c>
    </row>
    <row r="1388" spans="1:3" x14ac:dyDescent="0.5">
      <c r="A1388">
        <v>1906</v>
      </c>
      <c r="B1388" s="1" t="s">
        <v>25</v>
      </c>
      <c r="C1388">
        <v>-38</v>
      </c>
    </row>
    <row r="1389" spans="1:3" x14ac:dyDescent="0.5">
      <c r="A1389">
        <v>1907</v>
      </c>
      <c r="B1389" s="1" t="s">
        <v>25</v>
      </c>
      <c r="C1389">
        <v>-50</v>
      </c>
    </row>
    <row r="1390" spans="1:3" x14ac:dyDescent="0.5">
      <c r="A1390">
        <v>1908</v>
      </c>
      <c r="B1390" s="1" t="s">
        <v>25</v>
      </c>
      <c r="C1390">
        <v>-50</v>
      </c>
    </row>
    <row r="1391" spans="1:3" x14ac:dyDescent="0.5">
      <c r="A1391">
        <v>1909</v>
      </c>
      <c r="B1391" s="1" t="s">
        <v>25</v>
      </c>
      <c r="C1391">
        <v>-32</v>
      </c>
    </row>
    <row r="1392" spans="1:3" x14ac:dyDescent="0.5">
      <c r="A1392">
        <v>1910</v>
      </c>
      <c r="B1392" s="1" t="s">
        <v>25</v>
      </c>
      <c r="C1392">
        <v>-55</v>
      </c>
    </row>
    <row r="1393" spans="1:3" x14ac:dyDescent="0.5">
      <c r="A1393">
        <v>1911</v>
      </c>
      <c r="B1393" s="1" t="s">
        <v>25</v>
      </c>
      <c r="C1393">
        <v>-19</v>
      </c>
    </row>
    <row r="1394" spans="1:3" x14ac:dyDescent="0.5">
      <c r="A1394">
        <v>1912</v>
      </c>
      <c r="B1394" s="1" t="s">
        <v>25</v>
      </c>
      <c r="C1394">
        <v>-37</v>
      </c>
    </row>
    <row r="1395" spans="1:3" x14ac:dyDescent="0.5">
      <c r="A1395">
        <v>1913</v>
      </c>
      <c r="B1395" s="1" t="s">
        <v>25</v>
      </c>
      <c r="C1395">
        <v>-17</v>
      </c>
    </row>
    <row r="1396" spans="1:3" x14ac:dyDescent="0.5">
      <c r="A1396">
        <v>1914</v>
      </c>
      <c r="B1396" s="1" t="s">
        <v>25</v>
      </c>
      <c r="C1396">
        <v>-20</v>
      </c>
    </row>
    <row r="1397" spans="1:3" x14ac:dyDescent="0.5">
      <c r="A1397">
        <v>1915</v>
      </c>
      <c r="B1397" s="1" t="s">
        <v>25</v>
      </c>
      <c r="C1397">
        <v>-12</v>
      </c>
    </row>
    <row r="1398" spans="1:3" x14ac:dyDescent="0.5">
      <c r="A1398">
        <v>1916</v>
      </c>
      <c r="B1398" s="1" t="s">
        <v>25</v>
      </c>
      <c r="C1398">
        <v>-42</v>
      </c>
    </row>
    <row r="1399" spans="1:3" x14ac:dyDescent="0.5">
      <c r="A1399">
        <v>1917</v>
      </c>
      <c r="B1399" s="1" t="s">
        <v>25</v>
      </c>
      <c r="C1399">
        <v>-28</v>
      </c>
    </row>
    <row r="1400" spans="1:3" x14ac:dyDescent="0.5">
      <c r="A1400">
        <v>1918</v>
      </c>
      <c r="B1400" s="1" t="s">
        <v>25</v>
      </c>
      <c r="C1400">
        <v>-14</v>
      </c>
    </row>
    <row r="1401" spans="1:3" x14ac:dyDescent="0.5">
      <c r="A1401">
        <v>1919</v>
      </c>
      <c r="B1401" s="1" t="s">
        <v>25</v>
      </c>
      <c r="C1401">
        <v>-29</v>
      </c>
    </row>
    <row r="1402" spans="1:3" x14ac:dyDescent="0.5">
      <c r="A1402">
        <v>1920</v>
      </c>
      <c r="B1402" s="1" t="s">
        <v>25</v>
      </c>
      <c r="C1402">
        <v>-32</v>
      </c>
    </row>
    <row r="1403" spans="1:3" x14ac:dyDescent="0.5">
      <c r="A1403">
        <v>1921</v>
      </c>
      <c r="B1403" s="1" t="s">
        <v>25</v>
      </c>
      <c r="C1403">
        <v>-15</v>
      </c>
    </row>
    <row r="1404" spans="1:3" x14ac:dyDescent="0.5">
      <c r="A1404">
        <v>1922</v>
      </c>
      <c r="B1404" s="1" t="s">
        <v>25</v>
      </c>
      <c r="C1404">
        <v>-15</v>
      </c>
    </row>
    <row r="1405" spans="1:3" x14ac:dyDescent="0.5">
      <c r="A1405">
        <v>1923</v>
      </c>
      <c r="B1405" s="1" t="s">
        <v>25</v>
      </c>
      <c r="C1405">
        <v>5</v>
      </c>
    </row>
    <row r="1406" spans="1:3" x14ac:dyDescent="0.5">
      <c r="A1406">
        <v>1924</v>
      </c>
      <c r="B1406" s="1" t="s">
        <v>25</v>
      </c>
      <c r="C1406">
        <v>-21</v>
      </c>
    </row>
    <row r="1407" spans="1:3" x14ac:dyDescent="0.5">
      <c r="A1407">
        <v>1925</v>
      </c>
      <c r="B1407" s="1" t="s">
        <v>25</v>
      </c>
      <c r="C1407">
        <v>5</v>
      </c>
    </row>
    <row r="1408" spans="1:3" x14ac:dyDescent="0.5">
      <c r="A1408">
        <v>1926</v>
      </c>
      <c r="B1408" s="1" t="s">
        <v>25</v>
      </c>
      <c r="C1408">
        <v>-6</v>
      </c>
    </row>
    <row r="1409" spans="1:3" x14ac:dyDescent="0.5">
      <c r="A1409">
        <v>1927</v>
      </c>
      <c r="B1409" s="1" t="s">
        <v>25</v>
      </c>
      <c r="C1409">
        <v>-3</v>
      </c>
    </row>
    <row r="1410" spans="1:3" x14ac:dyDescent="0.5">
      <c r="A1410">
        <v>1928</v>
      </c>
      <c r="B1410" s="1" t="s">
        <v>25</v>
      </c>
      <c r="C1410">
        <v>-9</v>
      </c>
    </row>
    <row r="1411" spans="1:3" x14ac:dyDescent="0.5">
      <c r="A1411">
        <v>1929</v>
      </c>
      <c r="B1411" s="1" t="s">
        <v>25</v>
      </c>
      <c r="C1411">
        <v>-14</v>
      </c>
    </row>
    <row r="1412" spans="1:3" x14ac:dyDescent="0.5">
      <c r="A1412">
        <v>1930</v>
      </c>
      <c r="B1412" s="1" t="s">
        <v>25</v>
      </c>
      <c r="C1412">
        <v>15</v>
      </c>
    </row>
    <row r="1413" spans="1:3" x14ac:dyDescent="0.5">
      <c r="A1413">
        <v>1931</v>
      </c>
      <c r="B1413" s="1" t="s">
        <v>25</v>
      </c>
      <c r="C1413">
        <v>-10</v>
      </c>
    </row>
    <row r="1414" spans="1:3" x14ac:dyDescent="0.5">
      <c r="A1414">
        <v>1932</v>
      </c>
      <c r="B1414" s="1" t="s">
        <v>25</v>
      </c>
      <c r="C1414">
        <v>-26</v>
      </c>
    </row>
    <row r="1415" spans="1:3" x14ac:dyDescent="0.5">
      <c r="A1415">
        <v>1933</v>
      </c>
      <c r="B1415" s="1" t="s">
        <v>25</v>
      </c>
      <c r="C1415">
        <v>-31</v>
      </c>
    </row>
    <row r="1416" spans="1:3" x14ac:dyDescent="0.5">
      <c r="A1416">
        <v>1934</v>
      </c>
      <c r="B1416" s="1" t="s">
        <v>25</v>
      </c>
      <c r="C1416">
        <v>0</v>
      </c>
    </row>
    <row r="1417" spans="1:3" x14ac:dyDescent="0.5">
      <c r="A1417">
        <v>1935</v>
      </c>
      <c r="B1417" s="1" t="s">
        <v>25</v>
      </c>
      <c r="C1417">
        <v>-27</v>
      </c>
    </row>
    <row r="1418" spans="1:3" x14ac:dyDescent="0.5">
      <c r="A1418">
        <v>1936</v>
      </c>
      <c r="B1418" s="1" t="s">
        <v>25</v>
      </c>
      <c r="C1418">
        <v>-4</v>
      </c>
    </row>
    <row r="1419" spans="1:3" x14ac:dyDescent="0.5">
      <c r="A1419">
        <v>1937</v>
      </c>
      <c r="B1419" s="1" t="s">
        <v>25</v>
      </c>
      <c r="C1419">
        <v>11</v>
      </c>
    </row>
    <row r="1420" spans="1:3" x14ac:dyDescent="0.5">
      <c r="A1420">
        <v>1938</v>
      </c>
      <c r="B1420" s="1" t="s">
        <v>25</v>
      </c>
      <c r="C1420">
        <v>3</v>
      </c>
    </row>
    <row r="1421" spans="1:3" x14ac:dyDescent="0.5">
      <c r="A1421">
        <v>1939</v>
      </c>
      <c r="B1421" s="1" t="s">
        <v>25</v>
      </c>
      <c r="C1421">
        <v>7</v>
      </c>
    </row>
    <row r="1422" spans="1:3" x14ac:dyDescent="0.5">
      <c r="A1422">
        <v>1940</v>
      </c>
      <c r="B1422" s="1" t="s">
        <v>25</v>
      </c>
      <c r="C1422">
        <v>13</v>
      </c>
    </row>
    <row r="1423" spans="1:3" x14ac:dyDescent="0.5">
      <c r="A1423">
        <v>1941</v>
      </c>
      <c r="B1423" s="1" t="s">
        <v>25</v>
      </c>
      <c r="C1423">
        <v>13</v>
      </c>
    </row>
    <row r="1424" spans="1:3" x14ac:dyDescent="0.5">
      <c r="A1424">
        <v>1942</v>
      </c>
      <c r="B1424" s="1" t="s">
        <v>25</v>
      </c>
      <c r="C1424">
        <v>14</v>
      </c>
    </row>
    <row r="1425" spans="1:3" x14ac:dyDescent="0.5">
      <c r="A1425">
        <v>1943</v>
      </c>
      <c r="B1425" s="1" t="s">
        <v>25</v>
      </c>
      <c r="C1425">
        <v>27</v>
      </c>
    </row>
    <row r="1426" spans="1:3" x14ac:dyDescent="0.5">
      <c r="A1426">
        <v>1944</v>
      </c>
      <c r="B1426" s="1" t="s">
        <v>25</v>
      </c>
      <c r="C1426">
        <v>14</v>
      </c>
    </row>
    <row r="1427" spans="1:3" x14ac:dyDescent="0.5">
      <c r="A1427">
        <v>1945</v>
      </c>
      <c r="B1427" s="1" t="s">
        <v>25</v>
      </c>
      <c r="C1427">
        <v>10</v>
      </c>
    </row>
    <row r="1428" spans="1:3" x14ac:dyDescent="0.5">
      <c r="A1428">
        <v>1946</v>
      </c>
      <c r="B1428" s="1" t="s">
        <v>25</v>
      </c>
      <c r="C1428">
        <v>-1</v>
      </c>
    </row>
    <row r="1429" spans="1:3" x14ac:dyDescent="0.5">
      <c r="A1429">
        <v>1947</v>
      </c>
      <c r="B1429" s="1" t="s">
        <v>25</v>
      </c>
      <c r="C1429">
        <v>0</v>
      </c>
    </row>
    <row r="1430" spans="1:3" x14ac:dyDescent="0.5">
      <c r="A1430">
        <v>1948</v>
      </c>
      <c r="B1430" s="1" t="s">
        <v>25</v>
      </c>
      <c r="C1430">
        <v>-9</v>
      </c>
    </row>
    <row r="1431" spans="1:3" x14ac:dyDescent="0.5">
      <c r="A1431">
        <v>1949</v>
      </c>
      <c r="B1431" s="1" t="s">
        <v>25</v>
      </c>
      <c r="C1431">
        <v>-8</v>
      </c>
    </row>
    <row r="1432" spans="1:3" x14ac:dyDescent="0.5">
      <c r="A1432">
        <v>1950</v>
      </c>
      <c r="B1432" s="1" t="s">
        <v>25</v>
      </c>
      <c r="C1432">
        <v>-34</v>
      </c>
    </row>
    <row r="1433" spans="1:3" x14ac:dyDescent="0.5">
      <c r="A1433">
        <v>1951</v>
      </c>
      <c r="B1433" s="1" t="s">
        <v>25</v>
      </c>
      <c r="C1433">
        <v>1</v>
      </c>
    </row>
    <row r="1434" spans="1:3" x14ac:dyDescent="0.5">
      <c r="A1434">
        <v>1952</v>
      </c>
      <c r="B1434" s="1" t="s">
        <v>25</v>
      </c>
      <c r="C1434">
        <v>-16</v>
      </c>
    </row>
    <row r="1435" spans="1:3" x14ac:dyDescent="0.5">
      <c r="A1435">
        <v>1953</v>
      </c>
      <c r="B1435" s="1" t="s">
        <v>25</v>
      </c>
      <c r="C1435">
        <v>-5</v>
      </c>
    </row>
    <row r="1436" spans="1:3" x14ac:dyDescent="0.5">
      <c r="A1436">
        <v>1954</v>
      </c>
      <c r="B1436" s="1" t="s">
        <v>25</v>
      </c>
      <c r="C1436">
        <v>9</v>
      </c>
    </row>
    <row r="1437" spans="1:3" x14ac:dyDescent="0.5">
      <c r="A1437">
        <v>1955</v>
      </c>
      <c r="B1437" s="1" t="s">
        <v>25</v>
      </c>
      <c r="C1437">
        <v>-28</v>
      </c>
    </row>
    <row r="1438" spans="1:3" x14ac:dyDescent="0.5">
      <c r="A1438">
        <v>1956</v>
      </c>
      <c r="B1438" s="1" t="s">
        <v>25</v>
      </c>
      <c r="C1438">
        <v>-16</v>
      </c>
    </row>
    <row r="1439" spans="1:3" x14ac:dyDescent="0.5">
      <c r="A1439">
        <v>1957</v>
      </c>
      <c r="B1439" s="1" t="s">
        <v>25</v>
      </c>
      <c r="C1439">
        <v>6</v>
      </c>
    </row>
    <row r="1440" spans="1:3" x14ac:dyDescent="0.5">
      <c r="A1440">
        <v>1958</v>
      </c>
      <c r="B1440" s="1" t="s">
        <v>25</v>
      </c>
      <c r="C1440">
        <v>2</v>
      </c>
    </row>
    <row r="1441" spans="1:3" x14ac:dyDescent="0.5">
      <c r="A1441">
        <v>1959</v>
      </c>
      <c r="B1441" s="1" t="s">
        <v>25</v>
      </c>
      <c r="C1441">
        <v>-9</v>
      </c>
    </row>
    <row r="1442" spans="1:3" x14ac:dyDescent="0.5">
      <c r="A1442">
        <v>1960</v>
      </c>
      <c r="B1442" s="1" t="s">
        <v>25</v>
      </c>
      <c r="C1442">
        <v>-12</v>
      </c>
    </row>
    <row r="1443" spans="1:3" x14ac:dyDescent="0.5">
      <c r="A1443">
        <v>1961</v>
      </c>
      <c r="B1443" s="1" t="s">
        <v>25</v>
      </c>
      <c r="C1443">
        <v>2</v>
      </c>
    </row>
    <row r="1444" spans="1:3" x14ac:dyDescent="0.5">
      <c r="A1444">
        <v>1962</v>
      </c>
      <c r="B1444" s="1" t="s">
        <v>25</v>
      </c>
      <c r="C1444">
        <v>6</v>
      </c>
    </row>
    <row r="1445" spans="1:3" x14ac:dyDescent="0.5">
      <c r="A1445">
        <v>1963</v>
      </c>
      <c r="B1445" s="1" t="s">
        <v>25</v>
      </c>
      <c r="C1445">
        <v>16</v>
      </c>
    </row>
    <row r="1446" spans="1:3" x14ac:dyDescent="0.5">
      <c r="A1446">
        <v>1964</v>
      </c>
      <c r="B1446" s="1" t="s">
        <v>25</v>
      </c>
      <c r="C1446">
        <v>-21</v>
      </c>
    </row>
    <row r="1447" spans="1:3" x14ac:dyDescent="0.5">
      <c r="A1447">
        <v>1965</v>
      </c>
      <c r="B1447" s="1" t="s">
        <v>25</v>
      </c>
      <c r="C1447">
        <v>-6</v>
      </c>
    </row>
    <row r="1448" spans="1:3" x14ac:dyDescent="0.5">
      <c r="A1448">
        <v>1966</v>
      </c>
      <c r="B1448" s="1" t="s">
        <v>25</v>
      </c>
      <c r="C1448">
        <v>-2</v>
      </c>
    </row>
    <row r="1449" spans="1:3" x14ac:dyDescent="0.5">
      <c r="A1449">
        <v>1967</v>
      </c>
      <c r="B1449" s="1" t="s">
        <v>25</v>
      </c>
      <c r="C1449">
        <v>-6</v>
      </c>
    </row>
    <row r="1450" spans="1:3" x14ac:dyDescent="0.5">
      <c r="A1450">
        <v>1968</v>
      </c>
      <c r="B1450" s="1" t="s">
        <v>25</v>
      </c>
      <c r="C1450">
        <v>-5</v>
      </c>
    </row>
    <row r="1451" spans="1:3" x14ac:dyDescent="0.5">
      <c r="A1451">
        <v>1969</v>
      </c>
      <c r="B1451" s="1" t="s">
        <v>25</v>
      </c>
      <c r="C1451">
        <v>12</v>
      </c>
    </row>
    <row r="1452" spans="1:3" x14ac:dyDescent="0.5">
      <c r="A1452">
        <v>1970</v>
      </c>
      <c r="B1452" s="1" t="s">
        <v>25</v>
      </c>
      <c r="C1452">
        <v>1</v>
      </c>
    </row>
    <row r="1453" spans="1:3" x14ac:dyDescent="0.5">
      <c r="A1453">
        <v>1971</v>
      </c>
      <c r="B1453" s="1" t="s">
        <v>25</v>
      </c>
      <c r="C1453">
        <v>-5</v>
      </c>
    </row>
    <row r="1454" spans="1:3" x14ac:dyDescent="0.5">
      <c r="A1454">
        <v>1972</v>
      </c>
      <c r="B1454" s="1" t="s">
        <v>25</v>
      </c>
      <c r="C1454">
        <v>1</v>
      </c>
    </row>
    <row r="1455" spans="1:3" x14ac:dyDescent="0.5">
      <c r="A1455">
        <v>1973</v>
      </c>
      <c r="B1455" s="1" t="s">
        <v>25</v>
      </c>
      <c r="C1455">
        <v>5</v>
      </c>
    </row>
    <row r="1456" spans="1:3" x14ac:dyDescent="0.5">
      <c r="A1456">
        <v>1974</v>
      </c>
      <c r="B1456" s="1" t="s">
        <v>25</v>
      </c>
      <c r="C1456">
        <v>-7</v>
      </c>
    </row>
    <row r="1457" spans="1:3" x14ac:dyDescent="0.5">
      <c r="A1457">
        <v>1975</v>
      </c>
      <c r="B1457" s="1" t="s">
        <v>25</v>
      </c>
      <c r="C1457">
        <v>-16</v>
      </c>
    </row>
    <row r="1458" spans="1:3" x14ac:dyDescent="0.5">
      <c r="A1458">
        <v>1976</v>
      </c>
      <c r="B1458" s="1" t="s">
        <v>25</v>
      </c>
      <c r="C1458">
        <v>-6</v>
      </c>
    </row>
    <row r="1459" spans="1:3" x14ac:dyDescent="0.5">
      <c r="A1459">
        <v>1977</v>
      </c>
      <c r="B1459" s="1" t="s">
        <v>25</v>
      </c>
      <c r="C1459">
        <v>20</v>
      </c>
    </row>
    <row r="1460" spans="1:3" x14ac:dyDescent="0.5">
      <c r="A1460">
        <v>1978</v>
      </c>
      <c r="B1460" s="1" t="s">
        <v>25</v>
      </c>
      <c r="C1460">
        <v>18</v>
      </c>
    </row>
    <row r="1461" spans="1:3" x14ac:dyDescent="0.5">
      <c r="A1461">
        <v>1979</v>
      </c>
      <c r="B1461" s="1" t="s">
        <v>25</v>
      </c>
      <c r="C1461">
        <v>29</v>
      </c>
    </row>
    <row r="1462" spans="1:3" x14ac:dyDescent="0.5">
      <c r="A1462">
        <v>1980</v>
      </c>
      <c r="B1462" s="1" t="s">
        <v>25</v>
      </c>
      <c r="C1462">
        <v>29</v>
      </c>
    </row>
    <row r="1463" spans="1:3" x14ac:dyDescent="0.5">
      <c r="A1463">
        <v>1981</v>
      </c>
      <c r="B1463" s="1" t="s">
        <v>25</v>
      </c>
      <c r="C1463">
        <v>22</v>
      </c>
    </row>
    <row r="1464" spans="1:3" x14ac:dyDescent="0.5">
      <c r="A1464">
        <v>1982</v>
      </c>
      <c r="B1464" s="1" t="s">
        <v>25</v>
      </c>
      <c r="C1464">
        <v>14</v>
      </c>
    </row>
    <row r="1465" spans="1:3" x14ac:dyDescent="0.5">
      <c r="A1465">
        <v>1983</v>
      </c>
      <c r="B1465" s="1" t="s">
        <v>25</v>
      </c>
      <c r="C1465">
        <v>31</v>
      </c>
    </row>
    <row r="1466" spans="1:3" x14ac:dyDescent="0.5">
      <c r="A1466">
        <v>1984</v>
      </c>
      <c r="B1466" s="1" t="s">
        <v>25</v>
      </c>
      <c r="C1466">
        <v>4</v>
      </c>
    </row>
    <row r="1467" spans="1:3" x14ac:dyDescent="0.5">
      <c r="A1467">
        <v>1985</v>
      </c>
      <c r="B1467" s="1" t="s">
        <v>25</v>
      </c>
      <c r="C1467">
        <v>10</v>
      </c>
    </row>
    <row r="1468" spans="1:3" x14ac:dyDescent="0.5">
      <c r="A1468">
        <v>1986</v>
      </c>
      <c r="B1468" s="1" t="s">
        <v>25</v>
      </c>
      <c r="C1468">
        <v>11</v>
      </c>
    </row>
    <row r="1469" spans="1:3" x14ac:dyDescent="0.5">
      <c r="A1469">
        <v>1987</v>
      </c>
      <c r="B1469" s="1" t="s">
        <v>25</v>
      </c>
      <c r="C1469">
        <v>26</v>
      </c>
    </row>
    <row r="1470" spans="1:3" x14ac:dyDescent="0.5">
      <c r="A1470">
        <v>1988</v>
      </c>
      <c r="B1470" s="1" t="s">
        <v>25</v>
      </c>
      <c r="C1470">
        <v>11</v>
      </c>
    </row>
    <row r="1471" spans="1:3" x14ac:dyDescent="0.5">
      <c r="A1471">
        <v>1989</v>
      </c>
      <c r="B1471" s="1" t="s">
        <v>25</v>
      </c>
      <c r="C1471">
        <v>19</v>
      </c>
    </row>
    <row r="1472" spans="1:3" x14ac:dyDescent="0.5">
      <c r="A1472">
        <v>1990</v>
      </c>
      <c r="B1472" s="1" t="s">
        <v>25</v>
      </c>
      <c r="C1472">
        <v>45</v>
      </c>
    </row>
    <row r="1473" spans="1:3" x14ac:dyDescent="0.5">
      <c r="A1473">
        <v>1991</v>
      </c>
      <c r="B1473" s="1" t="s">
        <v>25</v>
      </c>
      <c r="C1473">
        <v>31</v>
      </c>
    </row>
    <row r="1474" spans="1:3" x14ac:dyDescent="0.5">
      <c r="A1474">
        <v>1992</v>
      </c>
      <c r="B1474" s="1" t="s">
        <v>25</v>
      </c>
      <c r="C1474">
        <v>4</v>
      </c>
    </row>
    <row r="1475" spans="1:3" x14ac:dyDescent="0.5">
      <c r="A1475">
        <v>1993</v>
      </c>
      <c r="B1475" s="1" t="s">
        <v>25</v>
      </c>
      <c r="C1475">
        <v>7</v>
      </c>
    </row>
    <row r="1476" spans="1:3" x14ac:dyDescent="0.5">
      <c r="A1476">
        <v>1994</v>
      </c>
      <c r="B1476" s="1" t="s">
        <v>25</v>
      </c>
      <c r="C1476">
        <v>46</v>
      </c>
    </row>
    <row r="1477" spans="1:3" x14ac:dyDescent="0.5">
      <c r="A1477">
        <v>1995</v>
      </c>
      <c r="B1477" s="1" t="s">
        <v>25</v>
      </c>
      <c r="C1477">
        <v>44</v>
      </c>
    </row>
    <row r="1478" spans="1:3" x14ac:dyDescent="0.5">
      <c r="A1478">
        <v>1996</v>
      </c>
      <c r="B1478" s="1" t="s">
        <v>25</v>
      </c>
      <c r="C1478">
        <v>41</v>
      </c>
    </row>
    <row r="1479" spans="1:3" x14ac:dyDescent="0.5">
      <c r="A1479">
        <v>1997</v>
      </c>
      <c r="B1479" s="1" t="s">
        <v>25</v>
      </c>
      <c r="C1479">
        <v>65</v>
      </c>
    </row>
    <row r="1480" spans="1:3" x14ac:dyDescent="0.5">
      <c r="A1480">
        <v>1998</v>
      </c>
      <c r="B1480" s="1" t="s">
        <v>25</v>
      </c>
      <c r="C1480">
        <v>49</v>
      </c>
    </row>
    <row r="1481" spans="1:3" x14ac:dyDescent="0.5">
      <c r="A1481">
        <v>1999</v>
      </c>
      <c r="B1481" s="1" t="s">
        <v>25</v>
      </c>
      <c r="C1481">
        <v>41</v>
      </c>
    </row>
    <row r="1482" spans="1:3" x14ac:dyDescent="0.5">
      <c r="A1482">
        <v>2000</v>
      </c>
      <c r="B1482" s="1" t="s">
        <v>25</v>
      </c>
      <c r="C1482">
        <v>33</v>
      </c>
    </row>
    <row r="1483" spans="1:3" x14ac:dyDescent="0.5">
      <c r="A1483">
        <v>2001</v>
      </c>
      <c r="B1483" s="1" t="s">
        <v>25</v>
      </c>
      <c r="C1483">
        <v>71</v>
      </c>
    </row>
    <row r="1484" spans="1:3" x14ac:dyDescent="0.5">
      <c r="A1484">
        <v>2002</v>
      </c>
      <c r="B1484" s="1" t="s">
        <v>25</v>
      </c>
      <c r="C1484">
        <v>59</v>
      </c>
    </row>
    <row r="1485" spans="1:3" x14ac:dyDescent="0.5">
      <c r="A1485">
        <v>2003</v>
      </c>
      <c r="B1485" s="1" t="s">
        <v>25</v>
      </c>
      <c r="C1485">
        <v>55</v>
      </c>
    </row>
    <row r="1486" spans="1:3" x14ac:dyDescent="0.5">
      <c r="A1486">
        <v>2004</v>
      </c>
      <c r="B1486" s="1" t="s">
        <v>25</v>
      </c>
      <c r="C1486">
        <v>72</v>
      </c>
    </row>
    <row r="1487" spans="1:3" x14ac:dyDescent="0.5">
      <c r="A1487">
        <v>2005</v>
      </c>
      <c r="B1487" s="1" t="s">
        <v>25</v>
      </c>
      <c r="C1487">
        <v>75</v>
      </c>
    </row>
    <row r="1488" spans="1:3" x14ac:dyDescent="0.5">
      <c r="A1488">
        <v>2006</v>
      </c>
      <c r="B1488" s="1" t="s">
        <v>25</v>
      </c>
      <c r="C1488">
        <v>73</v>
      </c>
    </row>
    <row r="1489" spans="1:3" x14ac:dyDescent="0.5">
      <c r="A1489">
        <v>2007</v>
      </c>
      <c r="B1489" s="1" t="s">
        <v>25</v>
      </c>
      <c r="C1489">
        <v>57</v>
      </c>
    </row>
    <row r="1490" spans="1:3" x14ac:dyDescent="0.5">
      <c r="A1490">
        <v>2008</v>
      </c>
      <c r="B1490" s="1" t="s">
        <v>25</v>
      </c>
      <c r="C1490">
        <v>67</v>
      </c>
    </row>
    <row r="1491" spans="1:3" x14ac:dyDescent="0.5">
      <c r="A1491">
        <v>2009</v>
      </c>
      <c r="B1491" s="1" t="s">
        <v>25</v>
      </c>
      <c r="C1491">
        <v>78</v>
      </c>
    </row>
    <row r="1492" spans="1:3" x14ac:dyDescent="0.5">
      <c r="A1492">
        <v>2010</v>
      </c>
      <c r="B1492" s="1" t="s">
        <v>25</v>
      </c>
      <c r="C1492">
        <v>79</v>
      </c>
    </row>
    <row r="1493" spans="1:3" x14ac:dyDescent="0.5">
      <c r="A1493">
        <v>2011</v>
      </c>
      <c r="B1493" s="1" t="s">
        <v>25</v>
      </c>
      <c r="C1493">
        <v>56</v>
      </c>
    </row>
    <row r="1494" spans="1:3" x14ac:dyDescent="0.5">
      <c r="A1494">
        <v>2012</v>
      </c>
      <c r="B1494" s="1" t="s">
        <v>25</v>
      </c>
      <c r="C1494">
        <v>74</v>
      </c>
    </row>
    <row r="1495" spans="1:3" x14ac:dyDescent="0.5">
      <c r="A1495">
        <v>2013</v>
      </c>
      <c r="B1495" s="1" t="s">
        <v>25</v>
      </c>
      <c r="C1495">
        <v>81</v>
      </c>
    </row>
    <row r="1496" spans="1:3" x14ac:dyDescent="0.5">
      <c r="A1496">
        <v>2014</v>
      </c>
      <c r="B1496" s="1" t="s">
        <v>25</v>
      </c>
      <c r="C1496">
        <v>68</v>
      </c>
    </row>
    <row r="1497" spans="1:3" x14ac:dyDescent="0.5">
      <c r="A1497">
        <v>2015</v>
      </c>
      <c r="B1497" s="1" t="s">
        <v>25</v>
      </c>
    </row>
    <row r="1498" spans="1:3" x14ac:dyDescent="0.5">
      <c r="A1498">
        <v>1880</v>
      </c>
      <c r="B1498" s="1" t="s">
        <v>26</v>
      </c>
      <c r="C1498">
        <v>-20</v>
      </c>
    </row>
    <row r="1499" spans="1:3" x14ac:dyDescent="0.5">
      <c r="A1499">
        <v>1881</v>
      </c>
      <c r="B1499" s="1" t="s">
        <v>26</v>
      </c>
      <c r="C1499">
        <v>-14</v>
      </c>
    </row>
    <row r="1500" spans="1:3" x14ac:dyDescent="0.5">
      <c r="A1500">
        <v>1882</v>
      </c>
      <c r="B1500" s="1" t="s">
        <v>26</v>
      </c>
      <c r="C1500">
        <v>-24</v>
      </c>
    </row>
    <row r="1501" spans="1:3" x14ac:dyDescent="0.5">
      <c r="A1501">
        <v>1883</v>
      </c>
      <c r="B1501" s="1" t="s">
        <v>26</v>
      </c>
      <c r="C1501">
        <v>-17</v>
      </c>
    </row>
    <row r="1502" spans="1:3" x14ac:dyDescent="0.5">
      <c r="A1502">
        <v>1884</v>
      </c>
      <c r="B1502" s="1" t="s">
        <v>26</v>
      </c>
      <c r="C1502">
        <v>-28</v>
      </c>
    </row>
    <row r="1503" spans="1:3" x14ac:dyDescent="0.5">
      <c r="A1503">
        <v>1885</v>
      </c>
      <c r="B1503" s="1" t="s">
        <v>26</v>
      </c>
      <c r="C1503">
        <v>-5</v>
      </c>
    </row>
    <row r="1504" spans="1:3" x14ac:dyDescent="0.5">
      <c r="A1504">
        <v>1886</v>
      </c>
      <c r="B1504" s="1" t="s">
        <v>26</v>
      </c>
      <c r="C1504">
        <v>-24</v>
      </c>
    </row>
    <row r="1505" spans="1:3" x14ac:dyDescent="0.5">
      <c r="A1505">
        <v>1887</v>
      </c>
      <c r="B1505" s="1" t="s">
        <v>26</v>
      </c>
      <c r="C1505">
        <v>-37</v>
      </c>
    </row>
    <row r="1506" spans="1:3" x14ac:dyDescent="0.5">
      <c r="A1506">
        <v>1888</v>
      </c>
      <c r="B1506" s="1" t="s">
        <v>26</v>
      </c>
      <c r="C1506">
        <v>-11</v>
      </c>
    </row>
    <row r="1507" spans="1:3" x14ac:dyDescent="0.5">
      <c r="A1507">
        <v>1889</v>
      </c>
      <c r="B1507" s="1" t="s">
        <v>26</v>
      </c>
      <c r="C1507">
        <v>-29</v>
      </c>
    </row>
    <row r="1508" spans="1:3" x14ac:dyDescent="0.5">
      <c r="A1508">
        <v>1890</v>
      </c>
      <c r="B1508" s="1" t="s">
        <v>26</v>
      </c>
      <c r="C1508">
        <v>-29</v>
      </c>
    </row>
    <row r="1509" spans="1:3" x14ac:dyDescent="0.5">
      <c r="A1509">
        <v>1891</v>
      </c>
      <c r="B1509" s="1" t="s">
        <v>26</v>
      </c>
      <c r="C1509">
        <v>1</v>
      </c>
    </row>
    <row r="1510" spans="1:3" x14ac:dyDescent="0.5">
      <c r="A1510">
        <v>1892</v>
      </c>
      <c r="B1510" s="1" t="s">
        <v>26</v>
      </c>
      <c r="C1510">
        <v>-27</v>
      </c>
    </row>
    <row r="1511" spans="1:3" x14ac:dyDescent="0.5">
      <c r="A1511">
        <v>1893</v>
      </c>
      <c r="B1511" s="1" t="s">
        <v>26</v>
      </c>
      <c r="C1511">
        <v>-36</v>
      </c>
    </row>
    <row r="1512" spans="1:3" x14ac:dyDescent="0.5">
      <c r="A1512">
        <v>1894</v>
      </c>
      <c r="B1512" s="1" t="s">
        <v>26</v>
      </c>
      <c r="C1512">
        <v>-21</v>
      </c>
    </row>
    <row r="1513" spans="1:3" x14ac:dyDescent="0.5">
      <c r="A1513">
        <v>1895</v>
      </c>
      <c r="B1513" s="1" t="s">
        <v>26</v>
      </c>
      <c r="C1513">
        <v>-11</v>
      </c>
    </row>
    <row r="1514" spans="1:3" x14ac:dyDescent="0.5">
      <c r="A1514">
        <v>1896</v>
      </c>
      <c r="B1514" s="1" t="s">
        <v>26</v>
      </c>
      <c r="C1514">
        <v>-11</v>
      </c>
    </row>
    <row r="1515" spans="1:3" x14ac:dyDescent="0.5">
      <c r="A1515">
        <v>1897</v>
      </c>
      <c r="B1515" s="1" t="s">
        <v>26</v>
      </c>
      <c r="C1515">
        <v>-26</v>
      </c>
    </row>
    <row r="1516" spans="1:3" x14ac:dyDescent="0.5">
      <c r="A1516">
        <v>1898</v>
      </c>
      <c r="B1516" s="1" t="s">
        <v>26</v>
      </c>
      <c r="C1516">
        <v>-21</v>
      </c>
    </row>
    <row r="1517" spans="1:3" x14ac:dyDescent="0.5">
      <c r="A1517">
        <v>1899</v>
      </c>
      <c r="B1517" s="1" t="s">
        <v>26</v>
      </c>
      <c r="C1517">
        <v>-26</v>
      </c>
    </row>
    <row r="1518" spans="1:3" x14ac:dyDescent="0.5">
      <c r="A1518">
        <v>1900</v>
      </c>
      <c r="B1518" s="1" t="s">
        <v>26</v>
      </c>
      <c r="C1518">
        <v>-13</v>
      </c>
    </row>
    <row r="1519" spans="1:3" x14ac:dyDescent="0.5">
      <c r="A1519">
        <v>1901</v>
      </c>
      <c r="B1519" s="1" t="s">
        <v>26</v>
      </c>
      <c r="C1519">
        <v>-28</v>
      </c>
    </row>
    <row r="1520" spans="1:3" x14ac:dyDescent="0.5">
      <c r="A1520">
        <v>1902</v>
      </c>
      <c r="B1520" s="1" t="s">
        <v>26</v>
      </c>
      <c r="C1520">
        <v>-45</v>
      </c>
    </row>
    <row r="1521" spans="1:3" x14ac:dyDescent="0.5">
      <c r="A1521">
        <v>1903</v>
      </c>
      <c r="B1521" s="1" t="s">
        <v>26</v>
      </c>
      <c r="C1521">
        <v>-46</v>
      </c>
    </row>
    <row r="1522" spans="1:3" x14ac:dyDescent="0.5">
      <c r="A1522">
        <v>1904</v>
      </c>
      <c r="B1522" s="1" t="s">
        <v>26</v>
      </c>
      <c r="C1522">
        <v>-28</v>
      </c>
    </row>
    <row r="1523" spans="1:3" x14ac:dyDescent="0.5">
      <c r="A1523">
        <v>1905</v>
      </c>
      <c r="B1523" s="1" t="s">
        <v>26</v>
      </c>
      <c r="C1523">
        <v>-20</v>
      </c>
    </row>
    <row r="1524" spans="1:3" x14ac:dyDescent="0.5">
      <c r="A1524">
        <v>1906</v>
      </c>
      <c r="B1524" s="1" t="s">
        <v>26</v>
      </c>
      <c r="C1524">
        <v>-16</v>
      </c>
    </row>
    <row r="1525" spans="1:3" x14ac:dyDescent="0.5">
      <c r="A1525">
        <v>1907</v>
      </c>
      <c r="B1525" s="1" t="s">
        <v>26</v>
      </c>
      <c r="C1525">
        <v>-49</v>
      </c>
    </row>
    <row r="1526" spans="1:3" x14ac:dyDescent="0.5">
      <c r="A1526">
        <v>1908</v>
      </c>
      <c r="B1526" s="1" t="s">
        <v>26</v>
      </c>
      <c r="C1526">
        <v>-49</v>
      </c>
    </row>
    <row r="1527" spans="1:3" x14ac:dyDescent="0.5">
      <c r="A1527">
        <v>1909</v>
      </c>
      <c r="B1527" s="1" t="s">
        <v>26</v>
      </c>
      <c r="C1527">
        <v>-53</v>
      </c>
    </row>
    <row r="1528" spans="1:3" x14ac:dyDescent="0.5">
      <c r="A1528">
        <v>1910</v>
      </c>
      <c r="B1528" s="1" t="s">
        <v>26</v>
      </c>
      <c r="C1528">
        <v>-68</v>
      </c>
    </row>
    <row r="1529" spans="1:3" x14ac:dyDescent="0.5">
      <c r="A1529">
        <v>1911</v>
      </c>
      <c r="B1529" s="1" t="s">
        <v>26</v>
      </c>
      <c r="C1529">
        <v>-24</v>
      </c>
    </row>
    <row r="1530" spans="1:3" x14ac:dyDescent="0.5">
      <c r="A1530">
        <v>1912</v>
      </c>
      <c r="B1530" s="1" t="s">
        <v>26</v>
      </c>
      <c r="C1530">
        <v>-40</v>
      </c>
    </row>
    <row r="1531" spans="1:3" x14ac:dyDescent="0.5">
      <c r="A1531">
        <v>1913</v>
      </c>
      <c r="B1531" s="1" t="s">
        <v>26</v>
      </c>
      <c r="C1531">
        <v>-3</v>
      </c>
    </row>
    <row r="1532" spans="1:3" x14ac:dyDescent="0.5">
      <c r="A1532">
        <v>1914</v>
      </c>
      <c r="B1532" s="1" t="s">
        <v>26</v>
      </c>
      <c r="C1532">
        <v>-9</v>
      </c>
    </row>
    <row r="1533" spans="1:3" x14ac:dyDescent="0.5">
      <c r="A1533">
        <v>1915</v>
      </c>
      <c r="B1533" s="1" t="s">
        <v>26</v>
      </c>
      <c r="C1533">
        <v>-24</v>
      </c>
    </row>
    <row r="1534" spans="1:3" x14ac:dyDescent="0.5">
      <c r="A1534">
        <v>1916</v>
      </c>
      <c r="B1534" s="1" t="s">
        <v>26</v>
      </c>
      <c r="C1534">
        <v>-77</v>
      </c>
    </row>
    <row r="1535" spans="1:3" x14ac:dyDescent="0.5">
      <c r="A1535">
        <v>1917</v>
      </c>
      <c r="B1535" s="1" t="s">
        <v>26</v>
      </c>
      <c r="C1535">
        <v>-70</v>
      </c>
    </row>
    <row r="1536" spans="1:3" x14ac:dyDescent="0.5">
      <c r="A1536">
        <v>1918</v>
      </c>
      <c r="B1536" s="1" t="s">
        <v>26</v>
      </c>
      <c r="C1536">
        <v>-27</v>
      </c>
    </row>
    <row r="1537" spans="1:3" x14ac:dyDescent="0.5">
      <c r="A1537">
        <v>1919</v>
      </c>
      <c r="B1537" s="1" t="s">
        <v>26</v>
      </c>
      <c r="C1537">
        <v>-33</v>
      </c>
    </row>
    <row r="1538" spans="1:3" x14ac:dyDescent="0.5">
      <c r="A1538">
        <v>1920</v>
      </c>
      <c r="B1538" s="1" t="s">
        <v>26</v>
      </c>
      <c r="C1538">
        <v>-44</v>
      </c>
    </row>
    <row r="1539" spans="1:3" x14ac:dyDescent="0.5">
      <c r="A1539">
        <v>1921</v>
      </c>
      <c r="B1539" s="1" t="s">
        <v>26</v>
      </c>
      <c r="C1539">
        <v>-17</v>
      </c>
    </row>
    <row r="1540" spans="1:3" x14ac:dyDescent="0.5">
      <c r="A1540">
        <v>1922</v>
      </c>
      <c r="B1540" s="1" t="s">
        <v>26</v>
      </c>
      <c r="C1540">
        <v>-15</v>
      </c>
    </row>
    <row r="1541" spans="1:3" x14ac:dyDescent="0.5">
      <c r="A1541">
        <v>1923</v>
      </c>
      <c r="B1541" s="1" t="s">
        <v>26</v>
      </c>
      <c r="C1541">
        <v>-3</v>
      </c>
    </row>
    <row r="1542" spans="1:3" x14ac:dyDescent="0.5">
      <c r="A1542">
        <v>1924</v>
      </c>
      <c r="B1542" s="1" t="s">
        <v>26</v>
      </c>
      <c r="C1542">
        <v>-40</v>
      </c>
    </row>
    <row r="1543" spans="1:3" x14ac:dyDescent="0.5">
      <c r="A1543">
        <v>1925</v>
      </c>
      <c r="B1543" s="1" t="s">
        <v>26</v>
      </c>
      <c r="C1543">
        <v>11</v>
      </c>
    </row>
    <row r="1544" spans="1:3" x14ac:dyDescent="0.5">
      <c r="A1544">
        <v>1926</v>
      </c>
      <c r="B1544" s="1" t="s">
        <v>26</v>
      </c>
      <c r="C1544">
        <v>-29</v>
      </c>
    </row>
    <row r="1545" spans="1:3" x14ac:dyDescent="0.5">
      <c r="A1545">
        <v>1927</v>
      </c>
      <c r="B1545" s="1" t="s">
        <v>26</v>
      </c>
      <c r="C1545">
        <v>-35</v>
      </c>
    </row>
    <row r="1546" spans="1:3" x14ac:dyDescent="0.5">
      <c r="A1546">
        <v>1928</v>
      </c>
      <c r="B1546" s="1" t="s">
        <v>26</v>
      </c>
      <c r="C1546">
        <v>-19</v>
      </c>
    </row>
    <row r="1547" spans="1:3" x14ac:dyDescent="0.5">
      <c r="A1547">
        <v>1929</v>
      </c>
      <c r="B1547" s="1" t="s">
        <v>26</v>
      </c>
      <c r="C1547">
        <v>-53</v>
      </c>
    </row>
    <row r="1548" spans="1:3" x14ac:dyDescent="0.5">
      <c r="A1548">
        <v>1930</v>
      </c>
      <c r="B1548" s="1" t="s">
        <v>26</v>
      </c>
      <c r="C1548">
        <v>-7</v>
      </c>
    </row>
    <row r="1549" spans="1:3" x14ac:dyDescent="0.5">
      <c r="A1549">
        <v>1931</v>
      </c>
      <c r="B1549" s="1" t="s">
        <v>26</v>
      </c>
      <c r="C1549">
        <v>-9</v>
      </c>
    </row>
    <row r="1550" spans="1:3" x14ac:dyDescent="0.5">
      <c r="A1550">
        <v>1932</v>
      </c>
      <c r="B1550" s="1" t="s">
        <v>26</v>
      </c>
      <c r="C1550">
        <v>-22</v>
      </c>
    </row>
    <row r="1551" spans="1:3" x14ac:dyDescent="0.5">
      <c r="A1551">
        <v>1933</v>
      </c>
      <c r="B1551" s="1" t="s">
        <v>26</v>
      </c>
      <c r="C1551">
        <v>-45</v>
      </c>
    </row>
    <row r="1552" spans="1:3" x14ac:dyDescent="0.5">
      <c r="A1552">
        <v>1934</v>
      </c>
      <c r="B1552" s="1" t="s">
        <v>26</v>
      </c>
      <c r="C1552">
        <v>-7</v>
      </c>
    </row>
    <row r="1553" spans="1:3" x14ac:dyDescent="0.5">
      <c r="A1553">
        <v>1935</v>
      </c>
      <c r="B1553" s="1" t="s">
        <v>26</v>
      </c>
      <c r="C1553">
        <v>-20</v>
      </c>
    </row>
    <row r="1554" spans="1:3" x14ac:dyDescent="0.5">
      <c r="A1554">
        <v>1936</v>
      </c>
      <c r="B1554" s="1" t="s">
        <v>26</v>
      </c>
      <c r="C1554">
        <v>-1</v>
      </c>
    </row>
    <row r="1555" spans="1:3" x14ac:dyDescent="0.5">
      <c r="A1555">
        <v>1937</v>
      </c>
      <c r="B1555" s="1" t="s">
        <v>26</v>
      </c>
      <c r="C1555">
        <v>-9</v>
      </c>
    </row>
    <row r="1556" spans="1:3" x14ac:dyDescent="0.5">
      <c r="A1556">
        <v>1938</v>
      </c>
      <c r="B1556" s="1" t="s">
        <v>26</v>
      </c>
      <c r="C1556">
        <v>-23</v>
      </c>
    </row>
    <row r="1557" spans="1:3" x14ac:dyDescent="0.5">
      <c r="A1557">
        <v>1939</v>
      </c>
      <c r="B1557" s="1" t="s">
        <v>26</v>
      </c>
      <c r="C1557">
        <v>41</v>
      </c>
    </row>
    <row r="1558" spans="1:3" x14ac:dyDescent="0.5">
      <c r="A1558">
        <v>1940</v>
      </c>
      <c r="B1558" s="1" t="s">
        <v>26</v>
      </c>
      <c r="C1558">
        <v>20</v>
      </c>
    </row>
    <row r="1559" spans="1:3" x14ac:dyDescent="0.5">
      <c r="A1559">
        <v>1941</v>
      </c>
      <c r="B1559" s="1" t="s">
        <v>26</v>
      </c>
      <c r="C1559">
        <v>15</v>
      </c>
    </row>
    <row r="1560" spans="1:3" x14ac:dyDescent="0.5">
      <c r="A1560">
        <v>1942</v>
      </c>
      <c r="B1560" s="1" t="s">
        <v>26</v>
      </c>
      <c r="C1560">
        <v>14</v>
      </c>
    </row>
    <row r="1561" spans="1:3" x14ac:dyDescent="0.5">
      <c r="A1561">
        <v>1943</v>
      </c>
      <c r="B1561" s="1" t="s">
        <v>26</v>
      </c>
      <c r="C1561">
        <v>29</v>
      </c>
    </row>
    <row r="1562" spans="1:3" x14ac:dyDescent="0.5">
      <c r="A1562">
        <v>1944</v>
      </c>
      <c r="B1562" s="1" t="s">
        <v>26</v>
      </c>
      <c r="C1562">
        <v>8</v>
      </c>
    </row>
    <row r="1563" spans="1:3" x14ac:dyDescent="0.5">
      <c r="A1563">
        <v>1945</v>
      </c>
      <c r="B1563" s="1" t="s">
        <v>26</v>
      </c>
      <c r="C1563">
        <v>-8</v>
      </c>
    </row>
    <row r="1564" spans="1:3" x14ac:dyDescent="0.5">
      <c r="A1564">
        <v>1946</v>
      </c>
      <c r="B1564" s="1" t="s">
        <v>26</v>
      </c>
      <c r="C1564">
        <v>-27</v>
      </c>
    </row>
    <row r="1565" spans="1:3" x14ac:dyDescent="0.5">
      <c r="A1565">
        <v>1947</v>
      </c>
      <c r="B1565" s="1" t="s">
        <v>26</v>
      </c>
      <c r="C1565">
        <v>-15</v>
      </c>
    </row>
    <row r="1566" spans="1:3" x14ac:dyDescent="0.5">
      <c r="A1566">
        <v>1948</v>
      </c>
      <c r="B1566" s="1" t="s">
        <v>26</v>
      </c>
      <c r="C1566">
        <v>-20</v>
      </c>
    </row>
    <row r="1567" spans="1:3" x14ac:dyDescent="0.5">
      <c r="A1567">
        <v>1949</v>
      </c>
      <c r="B1567" s="1" t="s">
        <v>26</v>
      </c>
      <c r="C1567">
        <v>-15</v>
      </c>
    </row>
    <row r="1568" spans="1:3" x14ac:dyDescent="0.5">
      <c r="A1568">
        <v>1950</v>
      </c>
      <c r="B1568" s="1" t="s">
        <v>26</v>
      </c>
      <c r="C1568">
        <v>-19</v>
      </c>
    </row>
    <row r="1569" spans="1:3" x14ac:dyDescent="0.5">
      <c r="A1569">
        <v>1951</v>
      </c>
      <c r="B1569" s="1" t="s">
        <v>26</v>
      </c>
      <c r="C1569">
        <v>16</v>
      </c>
    </row>
    <row r="1570" spans="1:3" x14ac:dyDescent="0.5">
      <c r="A1570">
        <v>1952</v>
      </c>
      <c r="B1570" s="1" t="s">
        <v>26</v>
      </c>
      <c r="C1570">
        <v>-2</v>
      </c>
    </row>
    <row r="1571" spans="1:3" x14ac:dyDescent="0.5">
      <c r="A1571">
        <v>1953</v>
      </c>
      <c r="B1571" s="1" t="s">
        <v>26</v>
      </c>
      <c r="C1571">
        <v>4</v>
      </c>
    </row>
    <row r="1572" spans="1:3" x14ac:dyDescent="0.5">
      <c r="A1572">
        <v>1954</v>
      </c>
      <c r="B1572" s="1" t="s">
        <v>26</v>
      </c>
      <c r="C1572">
        <v>-16</v>
      </c>
    </row>
    <row r="1573" spans="1:3" x14ac:dyDescent="0.5">
      <c r="A1573">
        <v>1955</v>
      </c>
      <c r="B1573" s="1" t="s">
        <v>26</v>
      </c>
      <c r="C1573">
        <v>-32</v>
      </c>
    </row>
    <row r="1574" spans="1:3" x14ac:dyDescent="0.5">
      <c r="A1574">
        <v>1956</v>
      </c>
      <c r="B1574" s="1" t="s">
        <v>26</v>
      </c>
      <c r="C1574">
        <v>-10</v>
      </c>
    </row>
    <row r="1575" spans="1:3" x14ac:dyDescent="0.5">
      <c r="A1575">
        <v>1957</v>
      </c>
      <c r="B1575" s="1" t="s">
        <v>26</v>
      </c>
      <c r="C1575">
        <v>16</v>
      </c>
    </row>
    <row r="1576" spans="1:3" x14ac:dyDescent="0.5">
      <c r="A1576">
        <v>1958</v>
      </c>
      <c r="B1576" s="1" t="s">
        <v>26</v>
      </c>
      <c r="C1576">
        <v>0</v>
      </c>
    </row>
    <row r="1577" spans="1:3" x14ac:dyDescent="0.5">
      <c r="A1577">
        <v>1959</v>
      </c>
      <c r="B1577" s="1" t="s">
        <v>26</v>
      </c>
      <c r="C1577">
        <v>-2</v>
      </c>
    </row>
    <row r="1578" spans="1:3" x14ac:dyDescent="0.5">
      <c r="A1578">
        <v>1960</v>
      </c>
      <c r="B1578" s="1" t="s">
        <v>26</v>
      </c>
      <c r="C1578">
        <v>18</v>
      </c>
    </row>
    <row r="1579" spans="1:3" x14ac:dyDescent="0.5">
      <c r="A1579">
        <v>1961</v>
      </c>
      <c r="B1579" s="1" t="s">
        <v>26</v>
      </c>
      <c r="C1579">
        <v>-15</v>
      </c>
    </row>
    <row r="1580" spans="1:3" x14ac:dyDescent="0.5">
      <c r="A1580">
        <v>1962</v>
      </c>
      <c r="B1580" s="1" t="s">
        <v>26</v>
      </c>
      <c r="C1580">
        <v>-1</v>
      </c>
    </row>
    <row r="1581" spans="1:3" x14ac:dyDescent="0.5">
      <c r="A1581">
        <v>1963</v>
      </c>
      <c r="B1581" s="1" t="s">
        <v>26</v>
      </c>
      <c r="C1581">
        <v>0</v>
      </c>
    </row>
    <row r="1582" spans="1:3" x14ac:dyDescent="0.5">
      <c r="A1582">
        <v>1964</v>
      </c>
      <c r="B1582" s="1" t="s">
        <v>26</v>
      </c>
      <c r="C1582">
        <v>-30</v>
      </c>
    </row>
    <row r="1583" spans="1:3" x14ac:dyDescent="0.5">
      <c r="A1583">
        <v>1965</v>
      </c>
      <c r="B1583" s="1" t="s">
        <v>26</v>
      </c>
      <c r="C1583">
        <v>-6</v>
      </c>
    </row>
    <row r="1584" spans="1:3" x14ac:dyDescent="0.5">
      <c r="A1584">
        <v>1966</v>
      </c>
      <c r="B1584" s="1" t="s">
        <v>26</v>
      </c>
      <c r="C1584">
        <v>-6</v>
      </c>
    </row>
    <row r="1585" spans="1:3" x14ac:dyDescent="0.5">
      <c r="A1585">
        <v>1967</v>
      </c>
      <c r="B1585" s="1" t="s">
        <v>26</v>
      </c>
      <c r="C1585">
        <v>-2</v>
      </c>
    </row>
    <row r="1586" spans="1:3" x14ac:dyDescent="0.5">
      <c r="A1586">
        <v>1968</v>
      </c>
      <c r="B1586" s="1" t="s">
        <v>26</v>
      </c>
      <c r="C1586">
        <v>-14</v>
      </c>
    </row>
    <row r="1587" spans="1:3" x14ac:dyDescent="0.5">
      <c r="A1587">
        <v>1969</v>
      </c>
      <c r="B1587" s="1" t="s">
        <v>26</v>
      </c>
      <c r="C1587">
        <v>27</v>
      </c>
    </row>
    <row r="1588" spans="1:3" x14ac:dyDescent="0.5">
      <c r="A1588">
        <v>1970</v>
      </c>
      <c r="B1588" s="1" t="s">
        <v>26</v>
      </c>
      <c r="C1588">
        <v>-14</v>
      </c>
    </row>
    <row r="1589" spans="1:3" x14ac:dyDescent="0.5">
      <c r="A1589">
        <v>1971</v>
      </c>
      <c r="B1589" s="1" t="s">
        <v>26</v>
      </c>
      <c r="C1589">
        <v>-8</v>
      </c>
    </row>
    <row r="1590" spans="1:3" x14ac:dyDescent="0.5">
      <c r="A1590">
        <v>1972</v>
      </c>
      <c r="B1590" s="1" t="s">
        <v>26</v>
      </c>
      <c r="C1590">
        <v>18</v>
      </c>
    </row>
    <row r="1591" spans="1:3" x14ac:dyDescent="0.5">
      <c r="A1591">
        <v>1973</v>
      </c>
      <c r="B1591" s="1" t="s">
        <v>26</v>
      </c>
      <c r="C1591">
        <v>-6</v>
      </c>
    </row>
    <row r="1592" spans="1:3" x14ac:dyDescent="0.5">
      <c r="A1592">
        <v>1974</v>
      </c>
      <c r="B1592" s="1" t="s">
        <v>26</v>
      </c>
      <c r="C1592">
        <v>-10</v>
      </c>
    </row>
    <row r="1593" spans="1:3" x14ac:dyDescent="0.5">
      <c r="A1593">
        <v>1975</v>
      </c>
      <c r="B1593" s="1" t="s">
        <v>26</v>
      </c>
      <c r="C1593">
        <v>-17</v>
      </c>
    </row>
    <row r="1594" spans="1:3" x14ac:dyDescent="0.5">
      <c r="A1594">
        <v>1976</v>
      </c>
      <c r="B1594" s="1" t="s">
        <v>26</v>
      </c>
      <c r="C1594">
        <v>8</v>
      </c>
    </row>
    <row r="1595" spans="1:3" x14ac:dyDescent="0.5">
      <c r="A1595">
        <v>1977</v>
      </c>
      <c r="B1595" s="1" t="s">
        <v>26</v>
      </c>
      <c r="C1595">
        <v>5</v>
      </c>
    </row>
    <row r="1596" spans="1:3" x14ac:dyDescent="0.5">
      <c r="A1596">
        <v>1978</v>
      </c>
      <c r="B1596" s="1" t="s">
        <v>26</v>
      </c>
      <c r="C1596">
        <v>11</v>
      </c>
    </row>
    <row r="1597" spans="1:3" x14ac:dyDescent="0.5">
      <c r="A1597">
        <v>1979</v>
      </c>
      <c r="B1597" s="1" t="s">
        <v>26</v>
      </c>
      <c r="C1597">
        <v>48</v>
      </c>
    </row>
    <row r="1598" spans="1:3" x14ac:dyDescent="0.5">
      <c r="A1598">
        <v>1980</v>
      </c>
      <c r="B1598" s="1" t="s">
        <v>26</v>
      </c>
      <c r="C1598">
        <v>20</v>
      </c>
    </row>
    <row r="1599" spans="1:3" x14ac:dyDescent="0.5">
      <c r="A1599">
        <v>1981</v>
      </c>
      <c r="B1599" s="1" t="s">
        <v>26</v>
      </c>
      <c r="C1599">
        <v>40</v>
      </c>
    </row>
    <row r="1600" spans="1:3" x14ac:dyDescent="0.5">
      <c r="A1600">
        <v>1982</v>
      </c>
      <c r="B1600" s="1" t="s">
        <v>26</v>
      </c>
      <c r="C1600">
        <v>43</v>
      </c>
    </row>
    <row r="1601" spans="1:3" x14ac:dyDescent="0.5">
      <c r="A1601">
        <v>1983</v>
      </c>
      <c r="B1601" s="1" t="s">
        <v>26</v>
      </c>
      <c r="C1601">
        <v>17</v>
      </c>
    </row>
    <row r="1602" spans="1:3" x14ac:dyDescent="0.5">
      <c r="A1602">
        <v>1984</v>
      </c>
      <c r="B1602" s="1" t="s">
        <v>26</v>
      </c>
      <c r="C1602">
        <v>-6</v>
      </c>
    </row>
    <row r="1603" spans="1:3" x14ac:dyDescent="0.5">
      <c r="A1603">
        <v>1985</v>
      </c>
      <c r="B1603" s="1" t="s">
        <v>26</v>
      </c>
      <c r="C1603">
        <v>16</v>
      </c>
    </row>
    <row r="1604" spans="1:3" x14ac:dyDescent="0.5">
      <c r="A1604">
        <v>1986</v>
      </c>
      <c r="B1604" s="1" t="s">
        <v>26</v>
      </c>
      <c r="C1604">
        <v>16</v>
      </c>
    </row>
    <row r="1605" spans="1:3" x14ac:dyDescent="0.5">
      <c r="A1605">
        <v>1987</v>
      </c>
      <c r="B1605" s="1" t="s">
        <v>26</v>
      </c>
      <c r="C1605">
        <v>48</v>
      </c>
    </row>
    <row r="1606" spans="1:3" x14ac:dyDescent="0.5">
      <c r="A1606">
        <v>1988</v>
      </c>
      <c r="B1606" s="1" t="s">
        <v>26</v>
      </c>
      <c r="C1606">
        <v>33</v>
      </c>
    </row>
    <row r="1607" spans="1:3" x14ac:dyDescent="0.5">
      <c r="A1607">
        <v>1989</v>
      </c>
      <c r="B1607" s="1" t="s">
        <v>26</v>
      </c>
      <c r="C1607">
        <v>36</v>
      </c>
    </row>
    <row r="1608" spans="1:3" x14ac:dyDescent="0.5">
      <c r="A1608">
        <v>1990</v>
      </c>
      <c r="B1608" s="1" t="s">
        <v>26</v>
      </c>
      <c r="C1608">
        <v>41</v>
      </c>
    </row>
    <row r="1609" spans="1:3" x14ac:dyDescent="0.5">
      <c r="A1609">
        <v>1991</v>
      </c>
      <c r="B1609" s="1" t="s">
        <v>26</v>
      </c>
      <c r="C1609">
        <v>33</v>
      </c>
    </row>
    <row r="1610" spans="1:3" x14ac:dyDescent="0.5">
      <c r="A1610">
        <v>1992</v>
      </c>
      <c r="B1610" s="1" t="s">
        <v>26</v>
      </c>
      <c r="C1610">
        <v>22</v>
      </c>
    </row>
    <row r="1611" spans="1:3" x14ac:dyDescent="0.5">
      <c r="A1611">
        <v>1993</v>
      </c>
      <c r="B1611" s="1" t="s">
        <v>26</v>
      </c>
      <c r="C1611">
        <v>19</v>
      </c>
    </row>
    <row r="1612" spans="1:3" x14ac:dyDescent="0.5">
      <c r="A1612">
        <v>1994</v>
      </c>
      <c r="B1612" s="1" t="s">
        <v>26</v>
      </c>
      <c r="C1612">
        <v>36</v>
      </c>
    </row>
    <row r="1613" spans="1:3" x14ac:dyDescent="0.5">
      <c r="A1613">
        <v>1995</v>
      </c>
      <c r="B1613" s="1" t="s">
        <v>26</v>
      </c>
      <c r="C1613">
        <v>30</v>
      </c>
    </row>
    <row r="1614" spans="1:3" x14ac:dyDescent="0.5">
      <c r="A1614">
        <v>1996</v>
      </c>
      <c r="B1614" s="1" t="s">
        <v>26</v>
      </c>
      <c r="C1614">
        <v>40</v>
      </c>
    </row>
    <row r="1615" spans="1:3" x14ac:dyDescent="0.5">
      <c r="A1615">
        <v>1997</v>
      </c>
      <c r="B1615" s="1" t="s">
        <v>26</v>
      </c>
      <c r="C1615">
        <v>59</v>
      </c>
    </row>
    <row r="1616" spans="1:3" x14ac:dyDescent="0.5">
      <c r="A1616">
        <v>1998</v>
      </c>
      <c r="B1616" s="1" t="s">
        <v>26</v>
      </c>
      <c r="C1616">
        <v>58</v>
      </c>
    </row>
    <row r="1617" spans="1:3" x14ac:dyDescent="0.5">
      <c r="A1617">
        <v>1999</v>
      </c>
      <c r="B1617" s="1" t="s">
        <v>26</v>
      </c>
      <c r="C1617">
        <v>48</v>
      </c>
    </row>
    <row r="1618" spans="1:3" x14ac:dyDescent="0.5">
      <c r="A1618">
        <v>2000</v>
      </c>
      <c r="B1618" s="1" t="s">
        <v>26</v>
      </c>
      <c r="C1618">
        <v>30</v>
      </c>
    </row>
    <row r="1619" spans="1:3" x14ac:dyDescent="0.5">
      <c r="A1619">
        <v>2001</v>
      </c>
      <c r="B1619" s="1" t="s">
        <v>26</v>
      </c>
      <c r="C1619">
        <v>55</v>
      </c>
    </row>
    <row r="1620" spans="1:3" x14ac:dyDescent="0.5">
      <c r="A1620">
        <v>2002</v>
      </c>
      <c r="B1620" s="1" t="s">
        <v>26</v>
      </c>
      <c r="C1620">
        <v>42</v>
      </c>
    </row>
    <row r="1621" spans="1:3" x14ac:dyDescent="0.5">
      <c r="A1621">
        <v>2003</v>
      </c>
      <c r="B1621" s="1" t="s">
        <v>26</v>
      </c>
      <c r="C1621">
        <v>74</v>
      </c>
    </row>
    <row r="1622" spans="1:3" x14ac:dyDescent="0.5">
      <c r="A1622">
        <v>2004</v>
      </c>
      <c r="B1622" s="1" t="s">
        <v>26</v>
      </c>
      <c r="C1622">
        <v>52</v>
      </c>
    </row>
    <row r="1623" spans="1:3" x14ac:dyDescent="0.5">
      <c r="A1623">
        <v>2005</v>
      </c>
      <c r="B1623" s="1" t="s">
        <v>26</v>
      </c>
      <c r="C1623">
        <v>68</v>
      </c>
    </row>
    <row r="1624" spans="1:3" x14ac:dyDescent="0.5">
      <c r="A1624">
        <v>2006</v>
      </c>
      <c r="B1624" s="1" t="s">
        <v>26</v>
      </c>
      <c r="C1624">
        <v>78</v>
      </c>
    </row>
    <row r="1625" spans="1:3" x14ac:dyDescent="0.5">
      <c r="A1625">
        <v>2007</v>
      </c>
      <c r="B1625" s="1" t="s">
        <v>26</v>
      </c>
      <c r="C1625">
        <v>49</v>
      </c>
    </row>
    <row r="1626" spans="1:3" x14ac:dyDescent="0.5">
      <c r="A1626">
        <v>2008</v>
      </c>
      <c r="B1626" s="1" t="s">
        <v>26</v>
      </c>
      <c r="C1626">
        <v>55</v>
      </c>
    </row>
    <row r="1627" spans="1:3" x14ac:dyDescent="0.5">
      <c r="A1627">
        <v>2009</v>
      </c>
      <c r="B1627" s="1" t="s">
        <v>26</v>
      </c>
      <c r="C1627">
        <v>65</v>
      </c>
    </row>
    <row r="1628" spans="1:3" x14ac:dyDescent="0.5">
      <c r="A1628">
        <v>2010</v>
      </c>
      <c r="B1628" s="1" t="s">
        <v>26</v>
      </c>
      <c r="C1628">
        <v>49</v>
      </c>
    </row>
    <row r="1629" spans="1:3" x14ac:dyDescent="0.5">
      <c r="A1629">
        <v>2011</v>
      </c>
      <c r="B1629" s="1" t="s">
        <v>26</v>
      </c>
      <c r="C1629">
        <v>53</v>
      </c>
    </row>
    <row r="1630" spans="1:3" x14ac:dyDescent="0.5">
      <c r="A1630">
        <v>2012</v>
      </c>
      <c r="B1630" s="1" t="s">
        <v>26</v>
      </c>
      <c r="C1630">
        <v>52</v>
      </c>
    </row>
    <row r="1631" spans="1:3" x14ac:dyDescent="0.5">
      <c r="A1631">
        <v>2013</v>
      </c>
      <c r="B1631" s="1" t="s">
        <v>26</v>
      </c>
      <c r="C1631">
        <v>67</v>
      </c>
    </row>
    <row r="1632" spans="1:3" x14ac:dyDescent="0.5">
      <c r="A1632">
        <v>2014</v>
      </c>
      <c r="B1632" s="1" t="s">
        <v>26</v>
      </c>
      <c r="C1632">
        <v>79</v>
      </c>
    </row>
    <row r="1633" spans="1:3" x14ac:dyDescent="0.5">
      <c r="A1633">
        <v>2015</v>
      </c>
      <c r="B1633" s="1" t="s">
        <v>26</v>
      </c>
    </row>
    <row r="1634" spans="1:3" x14ac:dyDescent="0.5">
      <c r="A1634">
        <v>1880</v>
      </c>
      <c r="B1634" s="1" t="s">
        <v>27</v>
      </c>
      <c r="C1634">
        <v>-19</v>
      </c>
    </row>
    <row r="1635" spans="1:3" x14ac:dyDescent="0.5">
      <c r="A1635">
        <v>1881</v>
      </c>
      <c r="B1635" s="1" t="s">
        <v>27</v>
      </c>
      <c r="C1635">
        <v>-10</v>
      </c>
    </row>
    <row r="1636" spans="1:3" x14ac:dyDescent="0.5">
      <c r="A1636">
        <v>1882</v>
      </c>
      <c r="B1636" s="1" t="s">
        <v>27</v>
      </c>
      <c r="C1636">
        <v>-9</v>
      </c>
    </row>
    <row r="1637" spans="1:3" x14ac:dyDescent="0.5">
      <c r="A1637">
        <v>1883</v>
      </c>
      <c r="B1637" s="1" t="s">
        <v>27</v>
      </c>
      <c r="C1637">
        <v>-19</v>
      </c>
    </row>
    <row r="1638" spans="1:3" x14ac:dyDescent="0.5">
      <c r="A1638">
        <v>1884</v>
      </c>
      <c r="B1638" s="1" t="s">
        <v>27</v>
      </c>
      <c r="C1638">
        <v>-27</v>
      </c>
    </row>
    <row r="1639" spans="1:3" x14ac:dyDescent="0.5">
      <c r="A1639">
        <v>1885</v>
      </c>
      <c r="B1639" s="1" t="s">
        <v>27</v>
      </c>
      <c r="C1639">
        <v>-31</v>
      </c>
    </row>
    <row r="1640" spans="1:3" x14ac:dyDescent="0.5">
      <c r="A1640">
        <v>1886</v>
      </c>
      <c r="B1640" s="1" t="s">
        <v>27</v>
      </c>
      <c r="C1640">
        <v>-30</v>
      </c>
    </row>
    <row r="1641" spans="1:3" x14ac:dyDescent="0.5">
      <c r="A1641">
        <v>1887</v>
      </c>
      <c r="B1641" s="1" t="s">
        <v>27</v>
      </c>
      <c r="C1641">
        <v>-33</v>
      </c>
    </row>
    <row r="1642" spans="1:3" x14ac:dyDescent="0.5">
      <c r="A1642">
        <v>1888</v>
      </c>
      <c r="B1642" s="1" t="s">
        <v>27</v>
      </c>
      <c r="C1642">
        <v>-20</v>
      </c>
    </row>
    <row r="1643" spans="1:3" x14ac:dyDescent="0.5">
      <c r="A1643">
        <v>1889</v>
      </c>
      <c r="B1643" s="1" t="s">
        <v>27</v>
      </c>
      <c r="C1643">
        <v>-11</v>
      </c>
    </row>
    <row r="1644" spans="1:3" x14ac:dyDescent="0.5">
      <c r="A1644">
        <v>1890</v>
      </c>
      <c r="B1644" s="1" t="s">
        <v>27</v>
      </c>
      <c r="C1644">
        <v>-36</v>
      </c>
    </row>
    <row r="1645" spans="1:3" x14ac:dyDescent="0.5">
      <c r="A1645">
        <v>1891</v>
      </c>
      <c r="B1645" s="1" t="s">
        <v>27</v>
      </c>
      <c r="C1645">
        <v>-23</v>
      </c>
    </row>
    <row r="1646" spans="1:3" x14ac:dyDescent="0.5">
      <c r="A1646">
        <v>1892</v>
      </c>
      <c r="B1646" s="1" t="s">
        <v>27</v>
      </c>
      <c r="C1646">
        <v>-26</v>
      </c>
    </row>
    <row r="1647" spans="1:3" x14ac:dyDescent="0.5">
      <c r="A1647">
        <v>1893</v>
      </c>
      <c r="B1647" s="1" t="s">
        <v>27</v>
      </c>
      <c r="C1647">
        <v>-29</v>
      </c>
    </row>
    <row r="1648" spans="1:3" x14ac:dyDescent="0.5">
      <c r="A1648">
        <v>1894</v>
      </c>
      <c r="B1648" s="1" t="s">
        <v>27</v>
      </c>
      <c r="C1648">
        <v>-30</v>
      </c>
    </row>
    <row r="1649" spans="1:3" x14ac:dyDescent="0.5">
      <c r="A1649">
        <v>1895</v>
      </c>
      <c r="B1649" s="1" t="s">
        <v>27</v>
      </c>
      <c r="C1649">
        <v>-21</v>
      </c>
    </row>
    <row r="1650" spans="1:3" x14ac:dyDescent="0.5">
      <c r="A1650">
        <v>1896</v>
      </c>
      <c r="B1650" s="1" t="s">
        <v>27</v>
      </c>
      <c r="C1650">
        <v>-14</v>
      </c>
    </row>
    <row r="1651" spans="1:3" x14ac:dyDescent="0.5">
      <c r="A1651">
        <v>1897</v>
      </c>
      <c r="B1651" s="1" t="s">
        <v>27</v>
      </c>
      <c r="C1651">
        <v>-11</v>
      </c>
    </row>
    <row r="1652" spans="1:3" x14ac:dyDescent="0.5">
      <c r="A1652">
        <v>1898</v>
      </c>
      <c r="B1652" s="1" t="s">
        <v>27</v>
      </c>
      <c r="C1652">
        <v>-28</v>
      </c>
    </row>
    <row r="1653" spans="1:3" x14ac:dyDescent="0.5">
      <c r="A1653">
        <v>1899</v>
      </c>
      <c r="B1653" s="1" t="s">
        <v>27</v>
      </c>
      <c r="C1653">
        <v>-16</v>
      </c>
    </row>
    <row r="1654" spans="1:3" x14ac:dyDescent="0.5">
      <c r="A1654">
        <v>1900</v>
      </c>
      <c r="B1654" s="1" t="s">
        <v>27</v>
      </c>
      <c r="C1654">
        <v>-8</v>
      </c>
    </row>
    <row r="1655" spans="1:3" x14ac:dyDescent="0.5">
      <c r="A1655">
        <v>1901</v>
      </c>
      <c r="B1655" s="1" t="s">
        <v>27</v>
      </c>
      <c r="C1655">
        <v>-13</v>
      </c>
    </row>
    <row r="1656" spans="1:3" x14ac:dyDescent="0.5">
      <c r="A1656">
        <v>1902</v>
      </c>
      <c r="B1656" s="1" t="s">
        <v>27</v>
      </c>
      <c r="C1656">
        <v>-26</v>
      </c>
    </row>
    <row r="1657" spans="1:3" x14ac:dyDescent="0.5">
      <c r="A1657">
        <v>1903</v>
      </c>
      <c r="B1657" s="1" t="s">
        <v>27</v>
      </c>
      <c r="C1657">
        <v>-35</v>
      </c>
    </row>
    <row r="1658" spans="1:3" x14ac:dyDescent="0.5">
      <c r="A1658">
        <v>1904</v>
      </c>
      <c r="B1658" s="1" t="s">
        <v>27</v>
      </c>
      <c r="C1658">
        <v>-44</v>
      </c>
    </row>
    <row r="1659" spans="1:3" x14ac:dyDescent="0.5">
      <c r="A1659">
        <v>1905</v>
      </c>
      <c r="B1659" s="1" t="s">
        <v>27</v>
      </c>
      <c r="C1659">
        <v>-27</v>
      </c>
    </row>
    <row r="1660" spans="1:3" x14ac:dyDescent="0.5">
      <c r="A1660">
        <v>1906</v>
      </c>
      <c r="B1660" s="1" t="s">
        <v>27</v>
      </c>
      <c r="C1660">
        <v>-21</v>
      </c>
    </row>
    <row r="1661" spans="1:3" x14ac:dyDescent="0.5">
      <c r="A1661">
        <v>1907</v>
      </c>
      <c r="B1661" s="1" t="s">
        <v>27</v>
      </c>
      <c r="C1661">
        <v>-39</v>
      </c>
    </row>
    <row r="1662" spans="1:3" x14ac:dyDescent="0.5">
      <c r="A1662">
        <v>1908</v>
      </c>
      <c r="B1662" s="1" t="s">
        <v>27</v>
      </c>
      <c r="C1662">
        <v>-42</v>
      </c>
    </row>
    <row r="1663" spans="1:3" x14ac:dyDescent="0.5">
      <c r="A1663">
        <v>1909</v>
      </c>
      <c r="B1663" s="1" t="s">
        <v>27</v>
      </c>
      <c r="C1663">
        <v>-47</v>
      </c>
    </row>
    <row r="1664" spans="1:3" x14ac:dyDescent="0.5">
      <c r="A1664">
        <v>1910</v>
      </c>
      <c r="B1664" s="1" t="s">
        <v>27</v>
      </c>
      <c r="C1664">
        <v>-42</v>
      </c>
    </row>
    <row r="1665" spans="1:3" x14ac:dyDescent="0.5">
      <c r="A1665">
        <v>1911</v>
      </c>
      <c r="B1665" s="1" t="s">
        <v>27</v>
      </c>
      <c r="C1665">
        <v>-44</v>
      </c>
    </row>
    <row r="1666" spans="1:3" x14ac:dyDescent="0.5">
      <c r="A1666">
        <v>1912</v>
      </c>
      <c r="B1666" s="1" t="s">
        <v>27</v>
      </c>
      <c r="C1666">
        <v>-35</v>
      </c>
    </row>
    <row r="1667" spans="1:3" x14ac:dyDescent="0.5">
      <c r="A1667">
        <v>1913</v>
      </c>
      <c r="B1667" s="1" t="s">
        <v>27</v>
      </c>
      <c r="C1667">
        <v>-33</v>
      </c>
    </row>
    <row r="1668" spans="1:3" x14ac:dyDescent="0.5">
      <c r="A1668">
        <v>1914</v>
      </c>
      <c r="B1668" s="1" t="s">
        <v>27</v>
      </c>
      <c r="C1668">
        <v>-15</v>
      </c>
    </row>
    <row r="1669" spans="1:3" x14ac:dyDescent="0.5">
      <c r="A1669">
        <v>1915</v>
      </c>
      <c r="B1669" s="1" t="s">
        <v>27</v>
      </c>
      <c r="C1669">
        <v>-10</v>
      </c>
    </row>
    <row r="1670" spans="1:3" x14ac:dyDescent="0.5">
      <c r="A1670">
        <v>1916</v>
      </c>
      <c r="B1670" s="1" t="s">
        <v>27</v>
      </c>
      <c r="C1670">
        <v>-33</v>
      </c>
    </row>
    <row r="1671" spans="1:3" x14ac:dyDescent="0.5">
      <c r="A1671">
        <v>1917</v>
      </c>
      <c r="B1671" s="1" t="s">
        <v>27</v>
      </c>
      <c r="C1671">
        <v>-39</v>
      </c>
    </row>
    <row r="1672" spans="1:3" x14ac:dyDescent="0.5">
      <c r="A1672">
        <v>1918</v>
      </c>
      <c r="B1672" s="1" t="s">
        <v>27</v>
      </c>
      <c r="C1672">
        <v>-24</v>
      </c>
    </row>
    <row r="1673" spans="1:3" x14ac:dyDescent="0.5">
      <c r="A1673">
        <v>1919</v>
      </c>
      <c r="B1673" s="1" t="s">
        <v>27</v>
      </c>
      <c r="C1673">
        <v>-21</v>
      </c>
    </row>
    <row r="1674" spans="1:3" x14ac:dyDescent="0.5">
      <c r="A1674">
        <v>1920</v>
      </c>
      <c r="B1674" s="1" t="s">
        <v>27</v>
      </c>
      <c r="C1674">
        <v>-25</v>
      </c>
    </row>
    <row r="1675" spans="1:3" x14ac:dyDescent="0.5">
      <c r="A1675">
        <v>1921</v>
      </c>
      <c r="B1675" s="1" t="s">
        <v>27</v>
      </c>
      <c r="C1675">
        <v>-19</v>
      </c>
    </row>
    <row r="1676" spans="1:3" x14ac:dyDescent="0.5">
      <c r="A1676">
        <v>1922</v>
      </c>
      <c r="B1676" s="1" t="s">
        <v>27</v>
      </c>
      <c r="C1676">
        <v>-26</v>
      </c>
    </row>
    <row r="1677" spans="1:3" x14ac:dyDescent="0.5">
      <c r="A1677">
        <v>1923</v>
      </c>
      <c r="B1677" s="1" t="s">
        <v>27</v>
      </c>
      <c r="C1677">
        <v>-22</v>
      </c>
    </row>
    <row r="1678" spans="1:3" x14ac:dyDescent="0.5">
      <c r="A1678">
        <v>1924</v>
      </c>
      <c r="B1678" s="1" t="s">
        <v>27</v>
      </c>
      <c r="C1678">
        <v>-26</v>
      </c>
    </row>
    <row r="1679" spans="1:3" x14ac:dyDescent="0.5">
      <c r="A1679">
        <v>1925</v>
      </c>
      <c r="B1679" s="1" t="s">
        <v>27</v>
      </c>
      <c r="C1679">
        <v>-19</v>
      </c>
    </row>
    <row r="1680" spans="1:3" x14ac:dyDescent="0.5">
      <c r="A1680">
        <v>1926</v>
      </c>
      <c r="B1680" s="1" t="s">
        <v>27</v>
      </c>
      <c r="C1680">
        <v>-8</v>
      </c>
    </row>
    <row r="1681" spans="1:3" x14ac:dyDescent="0.5">
      <c r="A1681">
        <v>1927</v>
      </c>
      <c r="B1681" s="1" t="s">
        <v>27</v>
      </c>
      <c r="C1681">
        <v>-20</v>
      </c>
    </row>
    <row r="1682" spans="1:3" x14ac:dyDescent="0.5">
      <c r="A1682">
        <v>1928</v>
      </c>
      <c r="B1682" s="1" t="s">
        <v>27</v>
      </c>
      <c r="C1682">
        <v>-20</v>
      </c>
    </row>
    <row r="1683" spans="1:3" x14ac:dyDescent="0.5">
      <c r="A1683">
        <v>1929</v>
      </c>
      <c r="B1683" s="1" t="s">
        <v>27</v>
      </c>
      <c r="C1683">
        <v>-35</v>
      </c>
    </row>
    <row r="1684" spans="1:3" x14ac:dyDescent="0.5">
      <c r="A1684">
        <v>1930</v>
      </c>
      <c r="B1684" s="1" t="s">
        <v>27</v>
      </c>
      <c r="C1684">
        <v>-13</v>
      </c>
    </row>
    <row r="1685" spans="1:3" x14ac:dyDescent="0.5">
      <c r="A1685">
        <v>1931</v>
      </c>
      <c r="B1685" s="1" t="s">
        <v>27</v>
      </c>
      <c r="C1685">
        <v>-9</v>
      </c>
    </row>
    <row r="1686" spans="1:3" x14ac:dyDescent="0.5">
      <c r="A1686">
        <v>1932</v>
      </c>
      <c r="B1686" s="1" t="s">
        <v>27</v>
      </c>
      <c r="C1686">
        <v>-16</v>
      </c>
    </row>
    <row r="1687" spans="1:3" x14ac:dyDescent="0.5">
      <c r="A1687">
        <v>1933</v>
      </c>
      <c r="B1687" s="1" t="s">
        <v>27</v>
      </c>
      <c r="C1687">
        <v>-28</v>
      </c>
    </row>
    <row r="1688" spans="1:3" x14ac:dyDescent="0.5">
      <c r="A1688">
        <v>1934</v>
      </c>
      <c r="B1688" s="1" t="s">
        <v>27</v>
      </c>
      <c r="C1688">
        <v>-13</v>
      </c>
    </row>
    <row r="1689" spans="1:3" x14ac:dyDescent="0.5">
      <c r="A1689">
        <v>1935</v>
      </c>
      <c r="B1689" s="1" t="s">
        <v>27</v>
      </c>
      <c r="C1689">
        <v>-19</v>
      </c>
    </row>
    <row r="1690" spans="1:3" x14ac:dyDescent="0.5">
      <c r="A1690">
        <v>1936</v>
      </c>
      <c r="B1690" s="1" t="s">
        <v>27</v>
      </c>
      <c r="C1690">
        <v>-14</v>
      </c>
    </row>
    <row r="1691" spans="1:3" x14ac:dyDescent="0.5">
      <c r="A1691">
        <v>1937</v>
      </c>
      <c r="B1691" s="1" t="s">
        <v>27</v>
      </c>
      <c r="C1691">
        <v>-1</v>
      </c>
    </row>
    <row r="1692" spans="1:3" x14ac:dyDescent="0.5">
      <c r="A1692">
        <v>1938</v>
      </c>
      <c r="B1692" s="1" t="s">
        <v>27</v>
      </c>
      <c r="C1692">
        <v>-2</v>
      </c>
    </row>
    <row r="1693" spans="1:3" x14ac:dyDescent="0.5">
      <c r="A1693">
        <v>1939</v>
      </c>
      <c r="B1693" s="1" t="s">
        <v>27</v>
      </c>
      <c r="C1693">
        <v>-3</v>
      </c>
    </row>
    <row r="1694" spans="1:3" x14ac:dyDescent="0.5">
      <c r="A1694">
        <v>1940</v>
      </c>
      <c r="B1694" s="1" t="s">
        <v>27</v>
      </c>
      <c r="C1694">
        <v>8</v>
      </c>
    </row>
    <row r="1695" spans="1:3" x14ac:dyDescent="0.5">
      <c r="A1695">
        <v>1941</v>
      </c>
      <c r="B1695" s="1" t="s">
        <v>27</v>
      </c>
      <c r="C1695">
        <v>13</v>
      </c>
    </row>
    <row r="1696" spans="1:3" x14ac:dyDescent="0.5">
      <c r="A1696">
        <v>1942</v>
      </c>
      <c r="B1696" s="1" t="s">
        <v>27</v>
      </c>
      <c r="C1696">
        <v>10</v>
      </c>
    </row>
    <row r="1697" spans="1:3" x14ac:dyDescent="0.5">
      <c r="A1697">
        <v>1943</v>
      </c>
      <c r="B1697" s="1" t="s">
        <v>27</v>
      </c>
      <c r="C1697">
        <v>14</v>
      </c>
    </row>
    <row r="1698" spans="1:3" x14ac:dyDescent="0.5">
      <c r="A1698">
        <v>1944</v>
      </c>
      <c r="B1698" s="1" t="s">
        <v>27</v>
      </c>
      <c r="C1698">
        <v>26</v>
      </c>
    </row>
    <row r="1699" spans="1:3" x14ac:dyDescent="0.5">
      <c r="A1699">
        <v>1945</v>
      </c>
      <c r="B1699" s="1" t="s">
        <v>27</v>
      </c>
      <c r="C1699">
        <v>13</v>
      </c>
    </row>
    <row r="1700" spans="1:3" x14ac:dyDescent="0.5">
      <c r="A1700">
        <v>1946</v>
      </c>
      <c r="B1700" s="1" t="s">
        <v>27</v>
      </c>
      <c r="C1700">
        <v>-3</v>
      </c>
    </row>
    <row r="1701" spans="1:3" x14ac:dyDescent="0.5">
      <c r="A1701">
        <v>1947</v>
      </c>
      <c r="B1701" s="1" t="s">
        <v>27</v>
      </c>
      <c r="C1701">
        <v>-3</v>
      </c>
    </row>
    <row r="1702" spans="1:3" x14ac:dyDescent="0.5">
      <c r="A1702">
        <v>1948</v>
      </c>
      <c r="B1702" s="1" t="s">
        <v>27</v>
      </c>
      <c r="C1702">
        <v>-9</v>
      </c>
    </row>
    <row r="1703" spans="1:3" x14ac:dyDescent="0.5">
      <c r="A1703">
        <v>1949</v>
      </c>
      <c r="B1703" s="1" t="s">
        <v>27</v>
      </c>
      <c r="C1703">
        <v>-9</v>
      </c>
    </row>
    <row r="1704" spans="1:3" x14ac:dyDescent="0.5">
      <c r="A1704">
        <v>1950</v>
      </c>
      <c r="B1704" s="1" t="s">
        <v>27</v>
      </c>
      <c r="C1704">
        <v>-18</v>
      </c>
    </row>
    <row r="1705" spans="1:3" x14ac:dyDescent="0.5">
      <c r="A1705">
        <v>1951</v>
      </c>
      <c r="B1705" s="1" t="s">
        <v>27</v>
      </c>
      <c r="C1705">
        <v>-7</v>
      </c>
    </row>
    <row r="1706" spans="1:3" x14ac:dyDescent="0.5">
      <c r="A1706">
        <v>1952</v>
      </c>
      <c r="B1706" s="1" t="s">
        <v>27</v>
      </c>
      <c r="C1706">
        <v>1</v>
      </c>
    </row>
    <row r="1707" spans="1:3" x14ac:dyDescent="0.5">
      <c r="A1707">
        <v>1953</v>
      </c>
      <c r="B1707" s="1" t="s">
        <v>27</v>
      </c>
      <c r="C1707">
        <v>8</v>
      </c>
    </row>
    <row r="1708" spans="1:3" x14ac:dyDescent="0.5">
      <c r="A1708">
        <v>1954</v>
      </c>
      <c r="B1708" s="1" t="s">
        <v>27</v>
      </c>
      <c r="C1708">
        <v>-12</v>
      </c>
    </row>
    <row r="1709" spans="1:3" x14ac:dyDescent="0.5">
      <c r="A1709">
        <v>1955</v>
      </c>
      <c r="B1709" s="1" t="s">
        <v>27</v>
      </c>
      <c r="C1709">
        <v>-14</v>
      </c>
    </row>
    <row r="1710" spans="1:3" x14ac:dyDescent="0.5">
      <c r="A1710">
        <v>1956</v>
      </c>
      <c r="B1710" s="1" t="s">
        <v>27</v>
      </c>
      <c r="C1710">
        <v>-20</v>
      </c>
    </row>
    <row r="1711" spans="1:3" x14ac:dyDescent="0.5">
      <c r="A1711">
        <v>1957</v>
      </c>
      <c r="B1711" s="1" t="s">
        <v>27</v>
      </c>
      <c r="C1711">
        <v>3</v>
      </c>
    </row>
    <row r="1712" spans="1:3" x14ac:dyDescent="0.5">
      <c r="A1712">
        <v>1958</v>
      </c>
      <c r="B1712" s="1" t="s">
        <v>27</v>
      </c>
      <c r="C1712">
        <v>6</v>
      </c>
    </row>
    <row r="1713" spans="1:3" x14ac:dyDescent="0.5">
      <c r="A1713">
        <v>1959</v>
      </c>
      <c r="B1713" s="1" t="s">
        <v>27</v>
      </c>
      <c r="C1713">
        <v>3</v>
      </c>
    </row>
    <row r="1714" spans="1:3" x14ac:dyDescent="0.5">
      <c r="A1714">
        <v>1960</v>
      </c>
      <c r="B1714" s="1" t="s">
        <v>27</v>
      </c>
      <c r="C1714">
        <v>-3</v>
      </c>
    </row>
    <row r="1715" spans="1:3" x14ac:dyDescent="0.5">
      <c r="A1715">
        <v>1961</v>
      </c>
      <c r="B1715" s="1" t="s">
        <v>27</v>
      </c>
      <c r="C1715">
        <v>5</v>
      </c>
    </row>
    <row r="1716" spans="1:3" x14ac:dyDescent="0.5">
      <c r="A1716">
        <v>1962</v>
      </c>
      <c r="B1716" s="1" t="s">
        <v>27</v>
      </c>
      <c r="C1716">
        <v>3</v>
      </c>
    </row>
    <row r="1717" spans="1:3" x14ac:dyDescent="0.5">
      <c r="A1717">
        <v>1963</v>
      </c>
      <c r="B1717" s="1" t="s">
        <v>27</v>
      </c>
      <c r="C1717">
        <v>6</v>
      </c>
    </row>
    <row r="1718" spans="1:3" x14ac:dyDescent="0.5">
      <c r="A1718">
        <v>1964</v>
      </c>
      <c r="B1718" s="1" t="s">
        <v>27</v>
      </c>
      <c r="C1718">
        <v>-20</v>
      </c>
    </row>
    <row r="1719" spans="1:3" x14ac:dyDescent="0.5">
      <c r="A1719">
        <v>1965</v>
      </c>
      <c r="B1719" s="1" t="s">
        <v>27</v>
      </c>
      <c r="C1719">
        <v>-10</v>
      </c>
    </row>
    <row r="1720" spans="1:3" x14ac:dyDescent="0.5">
      <c r="A1720">
        <v>1966</v>
      </c>
      <c r="B1720" s="1" t="s">
        <v>27</v>
      </c>
      <c r="C1720">
        <v>-5</v>
      </c>
    </row>
    <row r="1721" spans="1:3" x14ac:dyDescent="0.5">
      <c r="A1721">
        <v>1967</v>
      </c>
      <c r="B1721" s="1" t="s">
        <v>27</v>
      </c>
      <c r="C1721">
        <v>-2</v>
      </c>
    </row>
    <row r="1722" spans="1:3" x14ac:dyDescent="0.5">
      <c r="A1722">
        <v>1968</v>
      </c>
      <c r="B1722" s="1" t="s">
        <v>27</v>
      </c>
      <c r="C1722">
        <v>-7</v>
      </c>
    </row>
    <row r="1723" spans="1:3" x14ac:dyDescent="0.5">
      <c r="A1723">
        <v>1969</v>
      </c>
      <c r="B1723" s="1" t="s">
        <v>27</v>
      </c>
      <c r="C1723">
        <v>6</v>
      </c>
    </row>
    <row r="1724" spans="1:3" x14ac:dyDescent="0.5">
      <c r="A1724">
        <v>1970</v>
      </c>
      <c r="B1724" s="1" t="s">
        <v>27</v>
      </c>
      <c r="C1724">
        <v>3</v>
      </c>
    </row>
    <row r="1725" spans="1:3" x14ac:dyDescent="0.5">
      <c r="A1725">
        <v>1971</v>
      </c>
      <c r="B1725" s="1" t="s">
        <v>27</v>
      </c>
      <c r="C1725">
        <v>-9</v>
      </c>
    </row>
    <row r="1726" spans="1:3" x14ac:dyDescent="0.5">
      <c r="A1726">
        <v>1972</v>
      </c>
      <c r="B1726" s="1" t="s">
        <v>27</v>
      </c>
      <c r="C1726">
        <v>1</v>
      </c>
    </row>
    <row r="1727" spans="1:3" x14ac:dyDescent="0.5">
      <c r="A1727">
        <v>1973</v>
      </c>
      <c r="B1727" s="1" t="s">
        <v>27</v>
      </c>
      <c r="C1727">
        <v>15</v>
      </c>
    </row>
    <row r="1728" spans="1:3" x14ac:dyDescent="0.5">
      <c r="A1728">
        <v>1974</v>
      </c>
      <c r="B1728" s="1" t="s">
        <v>27</v>
      </c>
      <c r="C1728">
        <v>-8</v>
      </c>
    </row>
    <row r="1729" spans="1:3" x14ac:dyDescent="0.5">
      <c r="A1729">
        <v>1975</v>
      </c>
      <c r="B1729" s="1" t="s">
        <v>27</v>
      </c>
      <c r="C1729">
        <v>-1</v>
      </c>
    </row>
    <row r="1730" spans="1:3" x14ac:dyDescent="0.5">
      <c r="A1730">
        <v>1976</v>
      </c>
      <c r="B1730" s="1" t="s">
        <v>27</v>
      </c>
      <c r="C1730">
        <v>-11</v>
      </c>
    </row>
    <row r="1731" spans="1:3" x14ac:dyDescent="0.5">
      <c r="A1731">
        <v>1977</v>
      </c>
      <c r="B1731" s="1" t="s">
        <v>27</v>
      </c>
      <c r="C1731">
        <v>18</v>
      </c>
    </row>
    <row r="1732" spans="1:3" x14ac:dyDescent="0.5">
      <c r="A1732">
        <v>1978</v>
      </c>
      <c r="B1732" s="1" t="s">
        <v>27</v>
      </c>
      <c r="C1732">
        <v>7</v>
      </c>
    </row>
    <row r="1733" spans="1:3" x14ac:dyDescent="0.5">
      <c r="A1733">
        <v>1979</v>
      </c>
      <c r="B1733" s="1" t="s">
        <v>27</v>
      </c>
      <c r="C1733">
        <v>17</v>
      </c>
    </row>
    <row r="1734" spans="1:3" x14ac:dyDescent="0.5">
      <c r="A1734">
        <v>1980</v>
      </c>
      <c r="B1734" s="1" t="s">
        <v>27</v>
      </c>
      <c r="C1734">
        <v>28</v>
      </c>
    </row>
    <row r="1735" spans="1:3" x14ac:dyDescent="0.5">
      <c r="A1735">
        <v>1981</v>
      </c>
      <c r="B1735" s="1" t="s">
        <v>27</v>
      </c>
      <c r="C1735">
        <v>33</v>
      </c>
    </row>
    <row r="1736" spans="1:3" x14ac:dyDescent="0.5">
      <c r="A1736">
        <v>1982</v>
      </c>
      <c r="B1736" s="1" t="s">
        <v>27</v>
      </c>
      <c r="C1736">
        <v>13</v>
      </c>
    </row>
    <row r="1737" spans="1:3" x14ac:dyDescent="0.5">
      <c r="A1737">
        <v>1983</v>
      </c>
      <c r="B1737" s="1" t="s">
        <v>27</v>
      </c>
      <c r="C1737">
        <v>31</v>
      </c>
    </row>
    <row r="1738" spans="1:3" x14ac:dyDescent="0.5">
      <c r="A1738">
        <v>1984</v>
      </c>
      <c r="B1738" s="1" t="s">
        <v>27</v>
      </c>
      <c r="C1738">
        <v>16</v>
      </c>
    </row>
    <row r="1739" spans="1:3" x14ac:dyDescent="0.5">
      <c r="A1739">
        <v>1985</v>
      </c>
      <c r="B1739" s="1" t="s">
        <v>27</v>
      </c>
      <c r="C1739">
        <v>12</v>
      </c>
    </row>
    <row r="1740" spans="1:3" x14ac:dyDescent="0.5">
      <c r="A1740">
        <v>1986</v>
      </c>
      <c r="B1740" s="1" t="s">
        <v>27</v>
      </c>
      <c r="C1740">
        <v>19</v>
      </c>
    </row>
    <row r="1741" spans="1:3" x14ac:dyDescent="0.5">
      <c r="A1741">
        <v>1987</v>
      </c>
      <c r="B1741" s="1" t="s">
        <v>27</v>
      </c>
      <c r="C1741">
        <v>34</v>
      </c>
    </row>
    <row r="1742" spans="1:3" x14ac:dyDescent="0.5">
      <c r="A1742">
        <v>1988</v>
      </c>
      <c r="B1742" s="1" t="s">
        <v>27</v>
      </c>
      <c r="C1742">
        <v>40</v>
      </c>
    </row>
    <row r="1743" spans="1:3" x14ac:dyDescent="0.5">
      <c r="A1743">
        <v>1989</v>
      </c>
      <c r="B1743" s="1" t="s">
        <v>27</v>
      </c>
      <c r="C1743">
        <v>29</v>
      </c>
    </row>
    <row r="1744" spans="1:3" x14ac:dyDescent="0.5">
      <c r="A1744">
        <v>1990</v>
      </c>
      <c r="B1744" s="1" t="s">
        <v>27</v>
      </c>
      <c r="C1744">
        <v>44</v>
      </c>
    </row>
    <row r="1745" spans="1:3" x14ac:dyDescent="0.5">
      <c r="A1745">
        <v>1991</v>
      </c>
      <c r="B1745" s="1" t="s">
        <v>27</v>
      </c>
      <c r="C1745">
        <v>42</v>
      </c>
    </row>
    <row r="1746" spans="1:3" x14ac:dyDescent="0.5">
      <c r="A1746">
        <v>1992</v>
      </c>
      <c r="B1746" s="1" t="s">
        <v>27</v>
      </c>
      <c r="C1746">
        <v>23</v>
      </c>
    </row>
    <row r="1747" spans="1:3" x14ac:dyDescent="0.5">
      <c r="A1747">
        <v>1993</v>
      </c>
      <c r="B1747" s="1" t="s">
        <v>27</v>
      </c>
      <c r="C1747">
        <v>24</v>
      </c>
    </row>
    <row r="1748" spans="1:3" x14ac:dyDescent="0.5">
      <c r="A1748">
        <v>1994</v>
      </c>
      <c r="B1748" s="1" t="s">
        <v>27</v>
      </c>
      <c r="C1748">
        <v>32</v>
      </c>
    </row>
    <row r="1749" spans="1:3" x14ac:dyDescent="0.5">
      <c r="A1749">
        <v>1995</v>
      </c>
      <c r="B1749" s="1" t="s">
        <v>27</v>
      </c>
      <c r="C1749">
        <v>46</v>
      </c>
    </row>
    <row r="1750" spans="1:3" x14ac:dyDescent="0.5">
      <c r="A1750">
        <v>1996</v>
      </c>
      <c r="B1750" s="1" t="s">
        <v>27</v>
      </c>
      <c r="C1750">
        <v>35</v>
      </c>
    </row>
    <row r="1751" spans="1:3" x14ac:dyDescent="0.5">
      <c r="A1751">
        <v>1997</v>
      </c>
      <c r="B1751" s="1" t="s">
        <v>27</v>
      </c>
      <c r="C1751">
        <v>48</v>
      </c>
    </row>
    <row r="1752" spans="1:3" x14ac:dyDescent="0.5">
      <c r="A1752">
        <v>1998</v>
      </c>
      <c r="B1752" s="1" t="s">
        <v>27</v>
      </c>
      <c r="C1752">
        <v>63</v>
      </c>
    </row>
    <row r="1753" spans="1:3" x14ac:dyDescent="0.5">
      <c r="A1753">
        <v>1999</v>
      </c>
      <c r="B1753" s="1" t="s">
        <v>27</v>
      </c>
      <c r="C1753">
        <v>42</v>
      </c>
    </row>
    <row r="1754" spans="1:3" x14ac:dyDescent="0.5">
      <c r="A1754">
        <v>2000</v>
      </c>
      <c r="B1754" s="1" t="s">
        <v>27</v>
      </c>
      <c r="C1754">
        <v>42</v>
      </c>
    </row>
    <row r="1755" spans="1:3" x14ac:dyDescent="0.5">
      <c r="A1755">
        <v>2001</v>
      </c>
      <c r="B1755" s="1" t="s">
        <v>27</v>
      </c>
      <c r="C1755">
        <v>55</v>
      </c>
    </row>
    <row r="1756" spans="1:3" x14ac:dyDescent="0.5">
      <c r="A1756">
        <v>2002</v>
      </c>
      <c r="B1756" s="1" t="s">
        <v>27</v>
      </c>
      <c r="C1756">
        <v>63</v>
      </c>
    </row>
    <row r="1757" spans="1:3" x14ac:dyDescent="0.5">
      <c r="A1757">
        <v>2003</v>
      </c>
      <c r="B1757" s="1" t="s">
        <v>27</v>
      </c>
      <c r="C1757">
        <v>62</v>
      </c>
    </row>
    <row r="1758" spans="1:3" x14ac:dyDescent="0.5">
      <c r="A1758">
        <v>2004</v>
      </c>
      <c r="B1758" s="1" t="s">
        <v>27</v>
      </c>
      <c r="C1758">
        <v>55</v>
      </c>
    </row>
    <row r="1759" spans="1:3" x14ac:dyDescent="0.5">
      <c r="A1759">
        <v>2005</v>
      </c>
      <c r="B1759" s="1" t="s">
        <v>27</v>
      </c>
      <c r="C1759">
        <v>69</v>
      </c>
    </row>
    <row r="1760" spans="1:3" x14ac:dyDescent="0.5">
      <c r="A1760">
        <v>2006</v>
      </c>
      <c r="B1760" s="1" t="s">
        <v>27</v>
      </c>
      <c r="C1760">
        <v>64</v>
      </c>
    </row>
    <row r="1761" spans="1:3" x14ac:dyDescent="0.5">
      <c r="A1761">
        <v>2007</v>
      </c>
      <c r="B1761" s="1" t="s">
        <v>27</v>
      </c>
      <c r="C1761">
        <v>66</v>
      </c>
    </row>
    <row r="1762" spans="1:3" x14ac:dyDescent="0.5">
      <c r="A1762">
        <v>2008</v>
      </c>
      <c r="B1762" s="1" t="s">
        <v>27</v>
      </c>
      <c r="C1762">
        <v>54</v>
      </c>
    </row>
    <row r="1763" spans="1:3" x14ac:dyDescent="0.5">
      <c r="A1763">
        <v>2009</v>
      </c>
      <c r="B1763" s="1" t="s">
        <v>27</v>
      </c>
      <c r="C1763">
        <v>65</v>
      </c>
    </row>
    <row r="1764" spans="1:3" x14ac:dyDescent="0.5">
      <c r="A1764">
        <v>2010</v>
      </c>
      <c r="B1764" s="1" t="s">
        <v>27</v>
      </c>
      <c r="C1764">
        <v>71</v>
      </c>
    </row>
    <row r="1765" spans="1:3" x14ac:dyDescent="0.5">
      <c r="A1765">
        <v>2011</v>
      </c>
      <c r="B1765" s="1" t="s">
        <v>27</v>
      </c>
      <c r="C1765">
        <v>60</v>
      </c>
    </row>
    <row r="1766" spans="1:3" x14ac:dyDescent="0.5">
      <c r="A1766">
        <v>2012</v>
      </c>
      <c r="B1766" s="1" t="s">
        <v>27</v>
      </c>
      <c r="C1766">
        <v>63</v>
      </c>
    </row>
    <row r="1767" spans="1:3" x14ac:dyDescent="0.5">
      <c r="A1767">
        <v>2013</v>
      </c>
      <c r="B1767" s="1" t="s">
        <v>27</v>
      </c>
      <c r="C1767">
        <v>66</v>
      </c>
    </row>
    <row r="1768" spans="1:3" x14ac:dyDescent="0.5">
      <c r="A1768">
        <v>2014</v>
      </c>
      <c r="B1768" s="1" t="s">
        <v>27</v>
      </c>
      <c r="C1768">
        <v>75</v>
      </c>
    </row>
    <row r="1769" spans="1:3" x14ac:dyDescent="0.5">
      <c r="A1769">
        <v>2015</v>
      </c>
      <c r="B1769" s="1" t="s">
        <v>27</v>
      </c>
    </row>
    <row r="1770" spans="1:3" x14ac:dyDescent="0.5">
      <c r="A1770">
        <v>1880</v>
      </c>
      <c r="B1770" s="1" t="s">
        <v>28</v>
      </c>
    </row>
    <row r="1771" spans="1:3" x14ac:dyDescent="0.5">
      <c r="A1771">
        <v>1881</v>
      </c>
      <c r="B1771" s="1" t="s">
        <v>28</v>
      </c>
      <c r="C1771">
        <v>-11</v>
      </c>
    </row>
    <row r="1772" spans="1:3" x14ac:dyDescent="0.5">
      <c r="A1772">
        <v>1882</v>
      </c>
      <c r="B1772" s="1" t="s">
        <v>28</v>
      </c>
      <c r="C1772">
        <v>-8</v>
      </c>
    </row>
    <row r="1773" spans="1:3" x14ac:dyDescent="0.5">
      <c r="A1773">
        <v>1883</v>
      </c>
      <c r="B1773" s="1" t="s">
        <v>28</v>
      </c>
      <c r="C1773">
        <v>-20</v>
      </c>
    </row>
    <row r="1774" spans="1:3" x14ac:dyDescent="0.5">
      <c r="A1774">
        <v>1884</v>
      </c>
      <c r="B1774" s="1" t="s">
        <v>28</v>
      </c>
      <c r="C1774">
        <v>-26</v>
      </c>
    </row>
    <row r="1775" spans="1:3" x14ac:dyDescent="0.5">
      <c r="A1775">
        <v>1885</v>
      </c>
      <c r="B1775" s="1" t="s">
        <v>28</v>
      </c>
      <c r="C1775">
        <v>-33</v>
      </c>
    </row>
    <row r="1776" spans="1:3" x14ac:dyDescent="0.5">
      <c r="A1776">
        <v>1886</v>
      </c>
      <c r="B1776" s="1" t="s">
        <v>28</v>
      </c>
      <c r="C1776">
        <v>-28</v>
      </c>
    </row>
    <row r="1777" spans="1:3" x14ac:dyDescent="0.5">
      <c r="A1777">
        <v>1887</v>
      </c>
      <c r="B1777" s="1" t="s">
        <v>28</v>
      </c>
      <c r="C1777">
        <v>-32</v>
      </c>
    </row>
    <row r="1778" spans="1:3" x14ac:dyDescent="0.5">
      <c r="A1778">
        <v>1888</v>
      </c>
      <c r="B1778" s="1" t="s">
        <v>28</v>
      </c>
      <c r="C1778">
        <v>-22</v>
      </c>
    </row>
    <row r="1779" spans="1:3" x14ac:dyDescent="0.5">
      <c r="A1779">
        <v>1889</v>
      </c>
      <c r="B1779" s="1" t="s">
        <v>28</v>
      </c>
      <c r="C1779">
        <v>-9</v>
      </c>
    </row>
    <row r="1780" spans="1:3" x14ac:dyDescent="0.5">
      <c r="A1780">
        <v>1890</v>
      </c>
      <c r="B1780" s="1" t="s">
        <v>28</v>
      </c>
      <c r="C1780">
        <v>-36</v>
      </c>
    </row>
    <row r="1781" spans="1:3" x14ac:dyDescent="0.5">
      <c r="A1781">
        <v>1891</v>
      </c>
      <c r="B1781" s="1" t="s">
        <v>28</v>
      </c>
      <c r="C1781">
        <v>-26</v>
      </c>
    </row>
    <row r="1782" spans="1:3" x14ac:dyDescent="0.5">
      <c r="A1782">
        <v>1892</v>
      </c>
      <c r="B1782" s="1" t="s">
        <v>28</v>
      </c>
      <c r="C1782">
        <v>-23</v>
      </c>
    </row>
    <row r="1783" spans="1:3" x14ac:dyDescent="0.5">
      <c r="A1783">
        <v>1893</v>
      </c>
      <c r="B1783" s="1" t="s">
        <v>28</v>
      </c>
      <c r="C1783">
        <v>-28</v>
      </c>
    </row>
    <row r="1784" spans="1:3" x14ac:dyDescent="0.5">
      <c r="A1784">
        <v>1894</v>
      </c>
      <c r="B1784" s="1" t="s">
        <v>28</v>
      </c>
      <c r="C1784">
        <v>-31</v>
      </c>
    </row>
    <row r="1785" spans="1:3" x14ac:dyDescent="0.5">
      <c r="A1785">
        <v>1895</v>
      </c>
      <c r="B1785" s="1" t="s">
        <v>28</v>
      </c>
      <c r="C1785">
        <v>-22</v>
      </c>
    </row>
    <row r="1786" spans="1:3" x14ac:dyDescent="0.5">
      <c r="A1786">
        <v>1896</v>
      </c>
      <c r="B1786" s="1" t="s">
        <v>28</v>
      </c>
      <c r="C1786">
        <v>-14</v>
      </c>
    </row>
    <row r="1787" spans="1:3" x14ac:dyDescent="0.5">
      <c r="A1787">
        <v>1897</v>
      </c>
      <c r="B1787" s="1" t="s">
        <v>28</v>
      </c>
      <c r="C1787">
        <v>-10</v>
      </c>
    </row>
    <row r="1788" spans="1:3" x14ac:dyDescent="0.5">
      <c r="A1788">
        <v>1898</v>
      </c>
      <c r="B1788" s="1" t="s">
        <v>28</v>
      </c>
      <c r="C1788">
        <v>-29</v>
      </c>
    </row>
    <row r="1789" spans="1:3" x14ac:dyDescent="0.5">
      <c r="A1789">
        <v>1899</v>
      </c>
      <c r="B1789" s="1" t="s">
        <v>28</v>
      </c>
      <c r="C1789">
        <v>-16</v>
      </c>
    </row>
    <row r="1790" spans="1:3" x14ac:dyDescent="0.5">
      <c r="A1790">
        <v>1900</v>
      </c>
      <c r="B1790" s="1" t="s">
        <v>28</v>
      </c>
      <c r="C1790">
        <v>-9</v>
      </c>
    </row>
    <row r="1791" spans="1:3" x14ac:dyDescent="0.5">
      <c r="A1791">
        <v>1901</v>
      </c>
      <c r="B1791" s="1" t="s">
        <v>28</v>
      </c>
      <c r="C1791">
        <v>-12</v>
      </c>
    </row>
    <row r="1792" spans="1:3" x14ac:dyDescent="0.5">
      <c r="A1792">
        <v>1902</v>
      </c>
      <c r="B1792" s="1" t="s">
        <v>28</v>
      </c>
      <c r="C1792">
        <v>-25</v>
      </c>
    </row>
    <row r="1793" spans="1:3" x14ac:dyDescent="0.5">
      <c r="A1793">
        <v>1903</v>
      </c>
      <c r="B1793" s="1" t="s">
        <v>28</v>
      </c>
      <c r="C1793">
        <v>-34</v>
      </c>
    </row>
    <row r="1794" spans="1:3" x14ac:dyDescent="0.5">
      <c r="A1794">
        <v>1904</v>
      </c>
      <c r="B1794" s="1" t="s">
        <v>28</v>
      </c>
      <c r="C1794">
        <v>-45</v>
      </c>
    </row>
    <row r="1795" spans="1:3" x14ac:dyDescent="0.5">
      <c r="A1795">
        <v>1905</v>
      </c>
      <c r="B1795" s="1" t="s">
        <v>28</v>
      </c>
      <c r="C1795">
        <v>-28</v>
      </c>
    </row>
    <row r="1796" spans="1:3" x14ac:dyDescent="0.5">
      <c r="A1796">
        <v>1906</v>
      </c>
      <c r="B1796" s="1" t="s">
        <v>28</v>
      </c>
      <c r="C1796">
        <v>-22</v>
      </c>
    </row>
    <row r="1797" spans="1:3" x14ac:dyDescent="0.5">
      <c r="A1797">
        <v>1907</v>
      </c>
      <c r="B1797" s="1" t="s">
        <v>28</v>
      </c>
      <c r="C1797">
        <v>-36</v>
      </c>
    </row>
    <row r="1798" spans="1:3" x14ac:dyDescent="0.5">
      <c r="A1798">
        <v>1908</v>
      </c>
      <c r="B1798" s="1" t="s">
        <v>28</v>
      </c>
      <c r="C1798">
        <v>-42</v>
      </c>
    </row>
    <row r="1799" spans="1:3" x14ac:dyDescent="0.5">
      <c r="A1799">
        <v>1909</v>
      </c>
      <c r="B1799" s="1" t="s">
        <v>28</v>
      </c>
      <c r="C1799">
        <v>-47</v>
      </c>
    </row>
    <row r="1800" spans="1:3" x14ac:dyDescent="0.5">
      <c r="A1800">
        <v>1910</v>
      </c>
      <c r="B1800" s="1" t="s">
        <v>28</v>
      </c>
      <c r="C1800">
        <v>-41</v>
      </c>
    </row>
    <row r="1801" spans="1:3" x14ac:dyDescent="0.5">
      <c r="A1801">
        <v>1911</v>
      </c>
      <c r="B1801" s="1" t="s">
        <v>28</v>
      </c>
      <c r="C1801">
        <v>-48</v>
      </c>
    </row>
    <row r="1802" spans="1:3" x14ac:dyDescent="0.5">
      <c r="A1802">
        <v>1912</v>
      </c>
      <c r="B1802" s="1" t="s">
        <v>28</v>
      </c>
      <c r="C1802">
        <v>-33</v>
      </c>
    </row>
    <row r="1803" spans="1:3" x14ac:dyDescent="0.5">
      <c r="A1803">
        <v>1913</v>
      </c>
      <c r="B1803" s="1" t="s">
        <v>28</v>
      </c>
      <c r="C1803">
        <v>-37</v>
      </c>
    </row>
    <row r="1804" spans="1:3" x14ac:dyDescent="0.5">
      <c r="A1804">
        <v>1914</v>
      </c>
      <c r="B1804" s="1" t="s">
        <v>28</v>
      </c>
      <c r="C1804">
        <v>-15</v>
      </c>
    </row>
    <row r="1805" spans="1:3" x14ac:dyDescent="0.5">
      <c r="A1805">
        <v>1915</v>
      </c>
      <c r="B1805" s="1" t="s">
        <v>28</v>
      </c>
      <c r="C1805">
        <v>-9</v>
      </c>
    </row>
    <row r="1806" spans="1:3" x14ac:dyDescent="0.5">
      <c r="A1806">
        <v>1916</v>
      </c>
      <c r="B1806" s="1" t="s">
        <v>28</v>
      </c>
      <c r="C1806">
        <v>-28</v>
      </c>
    </row>
    <row r="1807" spans="1:3" x14ac:dyDescent="0.5">
      <c r="A1807">
        <v>1917</v>
      </c>
      <c r="B1807" s="1" t="s">
        <v>28</v>
      </c>
      <c r="C1807">
        <v>-40</v>
      </c>
    </row>
    <row r="1808" spans="1:3" x14ac:dyDescent="0.5">
      <c r="A1808">
        <v>1918</v>
      </c>
      <c r="B1808" s="1" t="s">
        <v>28</v>
      </c>
      <c r="C1808">
        <v>-28</v>
      </c>
    </row>
    <row r="1809" spans="1:3" x14ac:dyDescent="0.5">
      <c r="A1809">
        <v>1919</v>
      </c>
      <c r="B1809" s="1" t="s">
        <v>28</v>
      </c>
      <c r="C1809">
        <v>-21</v>
      </c>
    </row>
    <row r="1810" spans="1:3" x14ac:dyDescent="0.5">
      <c r="A1810">
        <v>1920</v>
      </c>
      <c r="B1810" s="1" t="s">
        <v>28</v>
      </c>
      <c r="C1810">
        <v>-24</v>
      </c>
    </row>
    <row r="1811" spans="1:3" x14ac:dyDescent="0.5">
      <c r="A1811">
        <v>1921</v>
      </c>
      <c r="B1811" s="1" t="s">
        <v>28</v>
      </c>
      <c r="C1811">
        <v>-22</v>
      </c>
    </row>
    <row r="1812" spans="1:3" x14ac:dyDescent="0.5">
      <c r="A1812">
        <v>1922</v>
      </c>
      <c r="B1812" s="1" t="s">
        <v>28</v>
      </c>
      <c r="C1812">
        <v>-26</v>
      </c>
    </row>
    <row r="1813" spans="1:3" x14ac:dyDescent="0.5">
      <c r="A1813">
        <v>1923</v>
      </c>
      <c r="B1813" s="1" t="s">
        <v>28</v>
      </c>
      <c r="C1813">
        <v>-24</v>
      </c>
    </row>
    <row r="1814" spans="1:3" x14ac:dyDescent="0.5">
      <c r="A1814">
        <v>1924</v>
      </c>
      <c r="B1814" s="1" t="s">
        <v>28</v>
      </c>
      <c r="C1814">
        <v>-23</v>
      </c>
    </row>
    <row r="1815" spans="1:3" x14ac:dyDescent="0.5">
      <c r="A1815">
        <v>1925</v>
      </c>
      <c r="B1815" s="1" t="s">
        <v>28</v>
      </c>
      <c r="C1815">
        <v>-23</v>
      </c>
    </row>
    <row r="1816" spans="1:3" x14ac:dyDescent="0.5">
      <c r="A1816">
        <v>1926</v>
      </c>
      <c r="B1816" s="1" t="s">
        <v>28</v>
      </c>
      <c r="C1816">
        <v>-5</v>
      </c>
    </row>
    <row r="1817" spans="1:3" x14ac:dyDescent="0.5">
      <c r="A1817">
        <v>1927</v>
      </c>
      <c r="B1817" s="1" t="s">
        <v>28</v>
      </c>
      <c r="C1817">
        <v>-19</v>
      </c>
    </row>
    <row r="1818" spans="1:3" x14ac:dyDescent="0.5">
      <c r="A1818">
        <v>1928</v>
      </c>
      <c r="B1818" s="1" t="s">
        <v>28</v>
      </c>
      <c r="C1818">
        <v>-21</v>
      </c>
    </row>
    <row r="1819" spans="1:3" x14ac:dyDescent="0.5">
      <c r="A1819">
        <v>1929</v>
      </c>
      <c r="B1819" s="1" t="s">
        <v>28</v>
      </c>
      <c r="C1819">
        <v>-32</v>
      </c>
    </row>
    <row r="1820" spans="1:3" x14ac:dyDescent="0.5">
      <c r="A1820">
        <v>1930</v>
      </c>
      <c r="B1820" s="1" t="s">
        <v>28</v>
      </c>
      <c r="C1820">
        <v>-17</v>
      </c>
    </row>
    <row r="1821" spans="1:3" x14ac:dyDescent="0.5">
      <c r="A1821">
        <v>1931</v>
      </c>
      <c r="B1821" s="1" t="s">
        <v>28</v>
      </c>
      <c r="C1821">
        <v>-8</v>
      </c>
    </row>
    <row r="1822" spans="1:3" x14ac:dyDescent="0.5">
      <c r="A1822">
        <v>1932</v>
      </c>
      <c r="B1822" s="1" t="s">
        <v>28</v>
      </c>
      <c r="C1822">
        <v>-15</v>
      </c>
    </row>
    <row r="1823" spans="1:3" x14ac:dyDescent="0.5">
      <c r="A1823">
        <v>1933</v>
      </c>
      <c r="B1823" s="1" t="s">
        <v>28</v>
      </c>
      <c r="C1823">
        <v>-26</v>
      </c>
    </row>
    <row r="1824" spans="1:3" x14ac:dyDescent="0.5">
      <c r="A1824">
        <v>1934</v>
      </c>
      <c r="B1824" s="1" t="s">
        <v>28</v>
      </c>
      <c r="C1824">
        <v>-16</v>
      </c>
    </row>
    <row r="1825" spans="1:3" x14ac:dyDescent="0.5">
      <c r="A1825">
        <v>1935</v>
      </c>
      <c r="B1825" s="1" t="s">
        <v>28</v>
      </c>
      <c r="C1825">
        <v>-18</v>
      </c>
    </row>
    <row r="1826" spans="1:3" x14ac:dyDescent="0.5">
      <c r="A1826">
        <v>1936</v>
      </c>
      <c r="B1826" s="1" t="s">
        <v>28</v>
      </c>
      <c r="C1826">
        <v>-16</v>
      </c>
    </row>
    <row r="1827" spans="1:3" x14ac:dyDescent="0.5">
      <c r="A1827">
        <v>1937</v>
      </c>
      <c r="B1827" s="1" t="s">
        <v>28</v>
      </c>
      <c r="C1827">
        <v>-1</v>
      </c>
    </row>
    <row r="1828" spans="1:3" x14ac:dyDescent="0.5">
      <c r="A1828">
        <v>1938</v>
      </c>
      <c r="B1828" s="1" t="s">
        <v>28</v>
      </c>
      <c r="C1828">
        <v>-1</v>
      </c>
    </row>
    <row r="1829" spans="1:3" x14ac:dyDescent="0.5">
      <c r="A1829">
        <v>1939</v>
      </c>
      <c r="B1829" s="1" t="s">
        <v>28</v>
      </c>
      <c r="C1829">
        <v>-8</v>
      </c>
    </row>
    <row r="1830" spans="1:3" x14ac:dyDescent="0.5">
      <c r="A1830">
        <v>1940</v>
      </c>
      <c r="B1830" s="1" t="s">
        <v>28</v>
      </c>
      <c r="C1830">
        <v>10</v>
      </c>
    </row>
    <row r="1831" spans="1:3" x14ac:dyDescent="0.5">
      <c r="A1831">
        <v>1941</v>
      </c>
      <c r="B1831" s="1" t="s">
        <v>28</v>
      </c>
      <c r="C1831">
        <v>13</v>
      </c>
    </row>
    <row r="1832" spans="1:3" x14ac:dyDescent="0.5">
      <c r="A1832">
        <v>1942</v>
      </c>
      <c r="B1832" s="1" t="s">
        <v>28</v>
      </c>
      <c r="C1832">
        <v>10</v>
      </c>
    </row>
    <row r="1833" spans="1:3" x14ac:dyDescent="0.5">
      <c r="A1833">
        <v>1943</v>
      </c>
      <c r="B1833" s="1" t="s">
        <v>28</v>
      </c>
      <c r="C1833">
        <v>13</v>
      </c>
    </row>
    <row r="1834" spans="1:3" x14ac:dyDescent="0.5">
      <c r="A1834">
        <v>1944</v>
      </c>
      <c r="B1834" s="1" t="s">
        <v>28</v>
      </c>
      <c r="C1834">
        <v>28</v>
      </c>
    </row>
    <row r="1835" spans="1:3" x14ac:dyDescent="0.5">
      <c r="A1835">
        <v>1945</v>
      </c>
      <c r="B1835" s="1" t="s">
        <v>28</v>
      </c>
      <c r="C1835">
        <v>14</v>
      </c>
    </row>
    <row r="1836" spans="1:3" x14ac:dyDescent="0.5">
      <c r="A1836">
        <v>1946</v>
      </c>
      <c r="B1836" s="1" t="s">
        <v>28</v>
      </c>
      <c r="C1836">
        <v>-1</v>
      </c>
    </row>
    <row r="1837" spans="1:3" x14ac:dyDescent="0.5">
      <c r="A1837">
        <v>1947</v>
      </c>
      <c r="B1837" s="1" t="s">
        <v>28</v>
      </c>
      <c r="C1837">
        <v>-4</v>
      </c>
    </row>
    <row r="1838" spans="1:3" x14ac:dyDescent="0.5">
      <c r="A1838">
        <v>1948</v>
      </c>
      <c r="B1838" s="1" t="s">
        <v>28</v>
      </c>
      <c r="C1838">
        <v>-9</v>
      </c>
    </row>
    <row r="1839" spans="1:3" x14ac:dyDescent="0.5">
      <c r="A1839">
        <v>1949</v>
      </c>
      <c r="B1839" s="1" t="s">
        <v>28</v>
      </c>
      <c r="C1839">
        <v>-9</v>
      </c>
    </row>
    <row r="1840" spans="1:3" x14ac:dyDescent="0.5">
      <c r="A1840">
        <v>1950</v>
      </c>
      <c r="B1840" s="1" t="s">
        <v>28</v>
      </c>
      <c r="C1840">
        <v>-17</v>
      </c>
    </row>
    <row r="1841" spans="1:3" x14ac:dyDescent="0.5">
      <c r="A1841">
        <v>1951</v>
      </c>
      <c r="B1841" s="1" t="s">
        <v>28</v>
      </c>
      <c r="C1841">
        <v>-10</v>
      </c>
    </row>
    <row r="1842" spans="1:3" x14ac:dyDescent="0.5">
      <c r="A1842">
        <v>1952</v>
      </c>
      <c r="B1842" s="1" t="s">
        <v>28</v>
      </c>
      <c r="C1842">
        <v>3</v>
      </c>
    </row>
    <row r="1843" spans="1:3" x14ac:dyDescent="0.5">
      <c r="A1843">
        <v>1953</v>
      </c>
      <c r="B1843" s="1" t="s">
        <v>28</v>
      </c>
      <c r="C1843">
        <v>7</v>
      </c>
    </row>
    <row r="1844" spans="1:3" x14ac:dyDescent="0.5">
      <c r="A1844">
        <v>1954</v>
      </c>
      <c r="B1844" s="1" t="s">
        <v>28</v>
      </c>
      <c r="C1844">
        <v>-10</v>
      </c>
    </row>
    <row r="1845" spans="1:3" x14ac:dyDescent="0.5">
      <c r="A1845">
        <v>1955</v>
      </c>
      <c r="B1845" s="1" t="s">
        <v>28</v>
      </c>
      <c r="C1845">
        <v>-13</v>
      </c>
    </row>
    <row r="1846" spans="1:3" x14ac:dyDescent="0.5">
      <c r="A1846">
        <v>1956</v>
      </c>
      <c r="B1846" s="1" t="s">
        <v>28</v>
      </c>
      <c r="C1846">
        <v>-22</v>
      </c>
    </row>
    <row r="1847" spans="1:3" x14ac:dyDescent="0.5">
      <c r="A1847">
        <v>1957</v>
      </c>
      <c r="B1847" s="1" t="s">
        <v>28</v>
      </c>
      <c r="C1847">
        <v>1</v>
      </c>
    </row>
    <row r="1848" spans="1:3" x14ac:dyDescent="0.5">
      <c r="A1848">
        <v>1958</v>
      </c>
      <c r="B1848" s="1" t="s">
        <v>28</v>
      </c>
      <c r="C1848">
        <v>7</v>
      </c>
    </row>
    <row r="1849" spans="1:3" x14ac:dyDescent="0.5">
      <c r="A1849">
        <v>1959</v>
      </c>
      <c r="B1849" s="1" t="s">
        <v>28</v>
      </c>
      <c r="C1849">
        <v>3</v>
      </c>
    </row>
    <row r="1850" spans="1:3" x14ac:dyDescent="0.5">
      <c r="A1850">
        <v>1960</v>
      </c>
      <c r="B1850" s="1" t="s">
        <v>28</v>
      </c>
      <c r="C1850">
        <v>-5</v>
      </c>
    </row>
    <row r="1851" spans="1:3" x14ac:dyDescent="0.5">
      <c r="A1851">
        <v>1961</v>
      </c>
      <c r="B1851" s="1" t="s">
        <v>28</v>
      </c>
      <c r="C1851">
        <v>8</v>
      </c>
    </row>
    <row r="1852" spans="1:3" x14ac:dyDescent="0.5">
      <c r="A1852">
        <v>1962</v>
      </c>
      <c r="B1852" s="1" t="s">
        <v>28</v>
      </c>
      <c r="C1852">
        <v>1</v>
      </c>
    </row>
    <row r="1853" spans="1:3" x14ac:dyDescent="0.5">
      <c r="A1853">
        <v>1963</v>
      </c>
      <c r="B1853" s="1" t="s">
        <v>28</v>
      </c>
      <c r="C1853">
        <v>6</v>
      </c>
    </row>
    <row r="1854" spans="1:3" x14ac:dyDescent="0.5">
      <c r="A1854">
        <v>1964</v>
      </c>
      <c r="B1854" s="1" t="s">
        <v>28</v>
      </c>
      <c r="C1854">
        <v>-18</v>
      </c>
    </row>
    <row r="1855" spans="1:3" x14ac:dyDescent="0.5">
      <c r="A1855">
        <v>1965</v>
      </c>
      <c r="B1855" s="1" t="s">
        <v>28</v>
      </c>
      <c r="C1855">
        <v>-12</v>
      </c>
    </row>
    <row r="1856" spans="1:3" x14ac:dyDescent="0.5">
      <c r="A1856">
        <v>1966</v>
      </c>
      <c r="B1856" s="1" t="s">
        <v>28</v>
      </c>
      <c r="C1856">
        <v>-5</v>
      </c>
    </row>
    <row r="1857" spans="1:3" x14ac:dyDescent="0.5">
      <c r="A1857">
        <v>1967</v>
      </c>
      <c r="B1857" s="1" t="s">
        <v>28</v>
      </c>
      <c r="C1857">
        <v>-3</v>
      </c>
    </row>
    <row r="1858" spans="1:3" x14ac:dyDescent="0.5">
      <c r="A1858">
        <v>1968</v>
      </c>
      <c r="B1858" s="1" t="s">
        <v>28</v>
      </c>
      <c r="C1858">
        <v>-6</v>
      </c>
    </row>
    <row r="1859" spans="1:3" x14ac:dyDescent="0.5">
      <c r="A1859">
        <v>1969</v>
      </c>
      <c r="B1859" s="1" t="s">
        <v>28</v>
      </c>
      <c r="C1859">
        <v>3</v>
      </c>
    </row>
    <row r="1860" spans="1:3" x14ac:dyDescent="0.5">
      <c r="A1860">
        <v>1970</v>
      </c>
      <c r="B1860" s="1" t="s">
        <v>28</v>
      </c>
      <c r="C1860">
        <v>6</v>
      </c>
    </row>
    <row r="1861" spans="1:3" x14ac:dyDescent="0.5">
      <c r="A1861">
        <v>1971</v>
      </c>
      <c r="B1861" s="1" t="s">
        <v>28</v>
      </c>
      <c r="C1861">
        <v>-10</v>
      </c>
    </row>
    <row r="1862" spans="1:3" x14ac:dyDescent="0.5">
      <c r="A1862">
        <v>1972</v>
      </c>
      <c r="B1862" s="1" t="s">
        <v>28</v>
      </c>
      <c r="C1862">
        <v>-1</v>
      </c>
    </row>
    <row r="1863" spans="1:3" x14ac:dyDescent="0.5">
      <c r="A1863">
        <v>1973</v>
      </c>
      <c r="B1863" s="1" t="s">
        <v>28</v>
      </c>
      <c r="C1863">
        <v>17</v>
      </c>
    </row>
    <row r="1864" spans="1:3" x14ac:dyDescent="0.5">
      <c r="A1864">
        <v>1974</v>
      </c>
      <c r="B1864" s="1" t="s">
        <v>28</v>
      </c>
      <c r="C1864">
        <v>-7</v>
      </c>
    </row>
    <row r="1865" spans="1:3" x14ac:dyDescent="0.5">
      <c r="A1865">
        <v>1975</v>
      </c>
      <c r="B1865" s="1" t="s">
        <v>28</v>
      </c>
      <c r="C1865">
        <v>-1</v>
      </c>
    </row>
    <row r="1866" spans="1:3" x14ac:dyDescent="0.5">
      <c r="A1866">
        <v>1976</v>
      </c>
      <c r="B1866" s="1" t="s">
        <v>28</v>
      </c>
      <c r="C1866">
        <v>-13</v>
      </c>
    </row>
    <row r="1867" spans="1:3" x14ac:dyDescent="0.5">
      <c r="A1867">
        <v>1977</v>
      </c>
      <c r="B1867" s="1" t="s">
        <v>28</v>
      </c>
      <c r="C1867">
        <v>19</v>
      </c>
    </row>
    <row r="1868" spans="1:3" x14ac:dyDescent="0.5">
      <c r="A1868">
        <v>1978</v>
      </c>
      <c r="B1868" s="1" t="s">
        <v>28</v>
      </c>
      <c r="C1868">
        <v>7</v>
      </c>
    </row>
    <row r="1869" spans="1:3" x14ac:dyDescent="0.5">
      <c r="A1869">
        <v>1979</v>
      </c>
      <c r="B1869" s="1" t="s">
        <v>28</v>
      </c>
      <c r="C1869">
        <v>14</v>
      </c>
    </row>
    <row r="1870" spans="1:3" x14ac:dyDescent="0.5">
      <c r="A1870">
        <v>1980</v>
      </c>
      <c r="B1870" s="1" t="s">
        <v>28</v>
      </c>
      <c r="C1870">
        <v>30</v>
      </c>
    </row>
    <row r="1871" spans="1:3" x14ac:dyDescent="0.5">
      <c r="A1871">
        <v>1981</v>
      </c>
      <c r="B1871" s="1" t="s">
        <v>28</v>
      </c>
      <c r="C1871">
        <v>31</v>
      </c>
    </row>
    <row r="1872" spans="1:3" x14ac:dyDescent="0.5">
      <c r="A1872">
        <v>1982</v>
      </c>
      <c r="B1872" s="1" t="s">
        <v>28</v>
      </c>
      <c r="C1872">
        <v>13</v>
      </c>
    </row>
    <row r="1873" spans="1:3" x14ac:dyDescent="0.5">
      <c r="A1873">
        <v>1983</v>
      </c>
      <c r="B1873" s="1" t="s">
        <v>28</v>
      </c>
      <c r="C1873">
        <v>33</v>
      </c>
    </row>
    <row r="1874" spans="1:3" x14ac:dyDescent="0.5">
      <c r="A1874">
        <v>1984</v>
      </c>
      <c r="B1874" s="1" t="s">
        <v>28</v>
      </c>
      <c r="C1874">
        <v>18</v>
      </c>
    </row>
    <row r="1875" spans="1:3" x14ac:dyDescent="0.5">
      <c r="A1875">
        <v>1985</v>
      </c>
      <c r="B1875" s="1" t="s">
        <v>28</v>
      </c>
      <c r="C1875">
        <v>11</v>
      </c>
    </row>
    <row r="1876" spans="1:3" x14ac:dyDescent="0.5">
      <c r="A1876">
        <v>1986</v>
      </c>
      <c r="B1876" s="1" t="s">
        <v>28</v>
      </c>
      <c r="C1876">
        <v>19</v>
      </c>
    </row>
    <row r="1877" spans="1:3" x14ac:dyDescent="0.5">
      <c r="A1877">
        <v>1987</v>
      </c>
      <c r="B1877" s="1" t="s">
        <v>28</v>
      </c>
      <c r="C1877">
        <v>31</v>
      </c>
    </row>
    <row r="1878" spans="1:3" x14ac:dyDescent="0.5">
      <c r="A1878">
        <v>1988</v>
      </c>
      <c r="B1878" s="1" t="s">
        <v>28</v>
      </c>
      <c r="C1878">
        <v>41</v>
      </c>
    </row>
    <row r="1879" spans="1:3" x14ac:dyDescent="0.5">
      <c r="A1879">
        <v>1989</v>
      </c>
      <c r="B1879" s="1" t="s">
        <v>28</v>
      </c>
      <c r="C1879">
        <v>29</v>
      </c>
    </row>
    <row r="1880" spans="1:3" x14ac:dyDescent="0.5">
      <c r="A1880">
        <v>1990</v>
      </c>
      <c r="B1880" s="1" t="s">
        <v>28</v>
      </c>
      <c r="C1880">
        <v>43</v>
      </c>
    </row>
    <row r="1881" spans="1:3" x14ac:dyDescent="0.5">
      <c r="A1881">
        <v>1991</v>
      </c>
      <c r="B1881" s="1" t="s">
        <v>28</v>
      </c>
      <c r="C1881">
        <v>43</v>
      </c>
    </row>
    <row r="1882" spans="1:3" x14ac:dyDescent="0.5">
      <c r="A1882">
        <v>1992</v>
      </c>
      <c r="B1882" s="1" t="s">
        <v>28</v>
      </c>
      <c r="C1882">
        <v>24</v>
      </c>
    </row>
    <row r="1883" spans="1:3" x14ac:dyDescent="0.5">
      <c r="A1883">
        <v>1993</v>
      </c>
      <c r="B1883" s="1" t="s">
        <v>28</v>
      </c>
      <c r="C1883">
        <v>24</v>
      </c>
    </row>
    <row r="1884" spans="1:3" x14ac:dyDescent="0.5">
      <c r="A1884">
        <v>1994</v>
      </c>
      <c r="B1884" s="1" t="s">
        <v>28</v>
      </c>
      <c r="C1884">
        <v>30</v>
      </c>
    </row>
    <row r="1885" spans="1:3" x14ac:dyDescent="0.5">
      <c r="A1885">
        <v>1995</v>
      </c>
      <c r="B1885" s="1" t="s">
        <v>28</v>
      </c>
      <c r="C1885">
        <v>46</v>
      </c>
    </row>
    <row r="1886" spans="1:3" x14ac:dyDescent="0.5">
      <c r="A1886">
        <v>1996</v>
      </c>
      <c r="B1886" s="1" t="s">
        <v>28</v>
      </c>
      <c r="C1886">
        <v>34</v>
      </c>
    </row>
    <row r="1887" spans="1:3" x14ac:dyDescent="0.5">
      <c r="A1887">
        <v>1997</v>
      </c>
      <c r="B1887" s="1" t="s">
        <v>28</v>
      </c>
      <c r="C1887">
        <v>46</v>
      </c>
    </row>
    <row r="1888" spans="1:3" x14ac:dyDescent="0.5">
      <c r="A1888">
        <v>1998</v>
      </c>
      <c r="B1888" s="1" t="s">
        <v>28</v>
      </c>
      <c r="C1888">
        <v>64</v>
      </c>
    </row>
    <row r="1889" spans="1:3" x14ac:dyDescent="0.5">
      <c r="A1889">
        <v>1999</v>
      </c>
      <c r="B1889" s="1" t="s">
        <v>28</v>
      </c>
      <c r="C1889">
        <v>43</v>
      </c>
    </row>
    <row r="1890" spans="1:3" x14ac:dyDescent="0.5">
      <c r="A1890">
        <v>2000</v>
      </c>
      <c r="B1890" s="1" t="s">
        <v>28</v>
      </c>
      <c r="C1890">
        <v>44</v>
      </c>
    </row>
    <row r="1891" spans="1:3" x14ac:dyDescent="0.5">
      <c r="A1891">
        <v>2001</v>
      </c>
      <c r="B1891" s="1" t="s">
        <v>28</v>
      </c>
      <c r="C1891">
        <v>53</v>
      </c>
    </row>
    <row r="1892" spans="1:3" x14ac:dyDescent="0.5">
      <c r="A1892">
        <v>2002</v>
      </c>
      <c r="B1892" s="1" t="s">
        <v>28</v>
      </c>
      <c r="C1892">
        <v>64</v>
      </c>
    </row>
    <row r="1893" spans="1:3" x14ac:dyDescent="0.5">
      <c r="A1893">
        <v>2003</v>
      </c>
      <c r="B1893" s="1" t="s">
        <v>28</v>
      </c>
      <c r="C1893">
        <v>59</v>
      </c>
    </row>
    <row r="1894" spans="1:3" x14ac:dyDescent="0.5">
      <c r="A1894">
        <v>2004</v>
      </c>
      <c r="B1894" s="1" t="s">
        <v>28</v>
      </c>
      <c r="C1894">
        <v>57</v>
      </c>
    </row>
    <row r="1895" spans="1:3" x14ac:dyDescent="0.5">
      <c r="A1895">
        <v>2005</v>
      </c>
      <c r="B1895" s="1" t="s">
        <v>28</v>
      </c>
      <c r="C1895">
        <v>68</v>
      </c>
    </row>
    <row r="1896" spans="1:3" x14ac:dyDescent="0.5">
      <c r="A1896">
        <v>2006</v>
      </c>
      <c r="B1896" s="1" t="s">
        <v>28</v>
      </c>
      <c r="C1896">
        <v>63</v>
      </c>
    </row>
    <row r="1897" spans="1:3" x14ac:dyDescent="0.5">
      <c r="A1897">
        <v>2007</v>
      </c>
      <c r="B1897" s="1" t="s">
        <v>28</v>
      </c>
      <c r="C1897">
        <v>69</v>
      </c>
    </row>
    <row r="1898" spans="1:3" x14ac:dyDescent="0.5">
      <c r="A1898">
        <v>2008</v>
      </c>
      <c r="B1898" s="1" t="s">
        <v>28</v>
      </c>
      <c r="C1898">
        <v>53</v>
      </c>
    </row>
    <row r="1899" spans="1:3" x14ac:dyDescent="0.5">
      <c r="A1899">
        <v>2009</v>
      </c>
      <c r="B1899" s="1" t="s">
        <v>28</v>
      </c>
      <c r="C1899">
        <v>64</v>
      </c>
    </row>
    <row r="1900" spans="1:3" x14ac:dyDescent="0.5">
      <c r="A1900">
        <v>2010</v>
      </c>
      <c r="B1900" s="1" t="s">
        <v>28</v>
      </c>
      <c r="C1900">
        <v>73</v>
      </c>
    </row>
    <row r="1901" spans="1:3" x14ac:dyDescent="0.5">
      <c r="A1901">
        <v>2011</v>
      </c>
      <c r="B1901" s="1" t="s">
        <v>28</v>
      </c>
      <c r="C1901">
        <v>60</v>
      </c>
    </row>
    <row r="1902" spans="1:3" x14ac:dyDescent="0.5">
      <c r="A1902">
        <v>2012</v>
      </c>
      <c r="B1902" s="1" t="s">
        <v>28</v>
      </c>
      <c r="C1902">
        <v>63</v>
      </c>
    </row>
    <row r="1903" spans="1:3" x14ac:dyDescent="0.5">
      <c r="A1903">
        <v>2013</v>
      </c>
      <c r="B1903" s="1" t="s">
        <v>28</v>
      </c>
      <c r="C1903">
        <v>64</v>
      </c>
    </row>
    <row r="1904" spans="1:3" x14ac:dyDescent="0.5">
      <c r="A1904">
        <v>2014</v>
      </c>
      <c r="B1904" s="1" t="s">
        <v>28</v>
      </c>
      <c r="C1904">
        <v>74</v>
      </c>
    </row>
    <row r="1905" spans="1:3" x14ac:dyDescent="0.5">
      <c r="A1905">
        <v>2015</v>
      </c>
      <c r="B1905" s="1" t="s">
        <v>28</v>
      </c>
    </row>
    <row r="1906" spans="1:3" x14ac:dyDescent="0.5">
      <c r="A1906">
        <v>1880</v>
      </c>
      <c r="B1906" s="1" t="s">
        <v>29</v>
      </c>
    </row>
    <row r="1907" spans="1:3" x14ac:dyDescent="0.5">
      <c r="A1907">
        <v>1881</v>
      </c>
      <c r="B1907" s="1" t="s">
        <v>29</v>
      </c>
      <c r="C1907">
        <v>-13</v>
      </c>
    </row>
    <row r="1908" spans="1:3" x14ac:dyDescent="0.5">
      <c r="A1908">
        <v>1882</v>
      </c>
      <c r="B1908" s="1" t="s">
        <v>29</v>
      </c>
      <c r="C1908">
        <v>2</v>
      </c>
    </row>
    <row r="1909" spans="1:3" x14ac:dyDescent="0.5">
      <c r="A1909">
        <v>1883</v>
      </c>
      <c r="B1909" s="1" t="s">
        <v>29</v>
      </c>
      <c r="C1909">
        <v>-32</v>
      </c>
    </row>
    <row r="1910" spans="1:3" x14ac:dyDescent="0.5">
      <c r="A1910">
        <v>1884</v>
      </c>
      <c r="B1910" s="1" t="s">
        <v>29</v>
      </c>
      <c r="C1910">
        <v>-15</v>
      </c>
    </row>
    <row r="1911" spans="1:3" x14ac:dyDescent="0.5">
      <c r="A1911">
        <v>1885</v>
      </c>
      <c r="B1911" s="1" t="s">
        <v>29</v>
      </c>
      <c r="C1911">
        <v>-41</v>
      </c>
    </row>
    <row r="1912" spans="1:3" x14ac:dyDescent="0.5">
      <c r="A1912">
        <v>1886</v>
      </c>
      <c r="B1912" s="1" t="s">
        <v>29</v>
      </c>
      <c r="C1912">
        <v>-30</v>
      </c>
    </row>
    <row r="1913" spans="1:3" x14ac:dyDescent="0.5">
      <c r="A1913">
        <v>1887</v>
      </c>
      <c r="B1913" s="1" t="s">
        <v>29</v>
      </c>
      <c r="C1913">
        <v>-46</v>
      </c>
    </row>
    <row r="1914" spans="1:3" x14ac:dyDescent="0.5">
      <c r="A1914">
        <v>1888</v>
      </c>
      <c r="B1914" s="1" t="s">
        <v>29</v>
      </c>
      <c r="C1914">
        <v>-40</v>
      </c>
    </row>
    <row r="1915" spans="1:3" x14ac:dyDescent="0.5">
      <c r="A1915">
        <v>1889</v>
      </c>
      <c r="B1915" s="1" t="s">
        <v>29</v>
      </c>
      <c r="C1915">
        <v>-5</v>
      </c>
    </row>
    <row r="1916" spans="1:3" x14ac:dyDescent="0.5">
      <c r="A1916">
        <v>1890</v>
      </c>
      <c r="B1916" s="1" t="s">
        <v>29</v>
      </c>
      <c r="C1916">
        <v>-41</v>
      </c>
    </row>
    <row r="1917" spans="1:3" x14ac:dyDescent="0.5">
      <c r="A1917">
        <v>1891</v>
      </c>
      <c r="B1917" s="1" t="s">
        <v>29</v>
      </c>
      <c r="C1917">
        <v>-41</v>
      </c>
    </row>
    <row r="1918" spans="1:3" x14ac:dyDescent="0.5">
      <c r="A1918">
        <v>1892</v>
      </c>
      <c r="B1918" s="1" t="s">
        <v>29</v>
      </c>
      <c r="C1918">
        <v>-12</v>
      </c>
    </row>
    <row r="1919" spans="1:3" x14ac:dyDescent="0.5">
      <c r="A1919">
        <v>1893</v>
      </c>
      <c r="B1919" s="1" t="s">
        <v>29</v>
      </c>
      <c r="C1919">
        <v>-48</v>
      </c>
    </row>
    <row r="1920" spans="1:3" x14ac:dyDescent="0.5">
      <c r="A1920">
        <v>1894</v>
      </c>
      <c r="B1920" s="1" t="s">
        <v>29</v>
      </c>
      <c r="C1920">
        <v>-40</v>
      </c>
    </row>
    <row r="1921" spans="1:3" x14ac:dyDescent="0.5">
      <c r="A1921">
        <v>1895</v>
      </c>
      <c r="B1921" s="1" t="s">
        <v>29</v>
      </c>
      <c r="C1921">
        <v>-35</v>
      </c>
    </row>
    <row r="1922" spans="1:3" x14ac:dyDescent="0.5">
      <c r="A1922">
        <v>1896</v>
      </c>
      <c r="B1922" s="1" t="s">
        <v>29</v>
      </c>
      <c r="C1922">
        <v>-16</v>
      </c>
    </row>
    <row r="1923" spans="1:3" x14ac:dyDescent="0.5">
      <c r="A1923">
        <v>1897</v>
      </c>
      <c r="B1923" s="1" t="s">
        <v>29</v>
      </c>
      <c r="C1923">
        <v>-17</v>
      </c>
    </row>
    <row r="1924" spans="1:3" x14ac:dyDescent="0.5">
      <c r="A1924">
        <v>1898</v>
      </c>
      <c r="B1924" s="1" t="s">
        <v>29</v>
      </c>
      <c r="C1924">
        <v>-22</v>
      </c>
    </row>
    <row r="1925" spans="1:3" x14ac:dyDescent="0.5">
      <c r="A1925">
        <v>1899</v>
      </c>
      <c r="B1925" s="1" t="s">
        <v>29</v>
      </c>
      <c r="C1925">
        <v>-26</v>
      </c>
    </row>
    <row r="1926" spans="1:3" x14ac:dyDescent="0.5">
      <c r="A1926">
        <v>1900</v>
      </c>
      <c r="B1926" s="1" t="s">
        <v>29</v>
      </c>
      <c r="C1926">
        <v>-24</v>
      </c>
    </row>
    <row r="1927" spans="1:3" x14ac:dyDescent="0.5">
      <c r="A1927">
        <v>1901</v>
      </c>
      <c r="B1927" s="1" t="s">
        <v>29</v>
      </c>
      <c r="C1927">
        <v>-15</v>
      </c>
    </row>
    <row r="1928" spans="1:3" x14ac:dyDescent="0.5">
      <c r="A1928">
        <v>1902</v>
      </c>
      <c r="B1928" s="1" t="s">
        <v>29</v>
      </c>
      <c r="C1928">
        <v>-16</v>
      </c>
    </row>
    <row r="1929" spans="1:3" x14ac:dyDescent="0.5">
      <c r="A1929">
        <v>1903</v>
      </c>
      <c r="B1929" s="1" t="s">
        <v>29</v>
      </c>
      <c r="C1929">
        <v>-25</v>
      </c>
    </row>
    <row r="1930" spans="1:3" x14ac:dyDescent="0.5">
      <c r="A1930">
        <v>1904</v>
      </c>
      <c r="B1930" s="1" t="s">
        <v>29</v>
      </c>
      <c r="C1930">
        <v>-54</v>
      </c>
    </row>
    <row r="1931" spans="1:3" x14ac:dyDescent="0.5">
      <c r="A1931">
        <v>1905</v>
      </c>
      <c r="B1931" s="1" t="s">
        <v>29</v>
      </c>
      <c r="C1931">
        <v>-41</v>
      </c>
    </row>
    <row r="1932" spans="1:3" x14ac:dyDescent="0.5">
      <c r="A1932">
        <v>1906</v>
      </c>
      <c r="B1932" s="1" t="s">
        <v>29</v>
      </c>
      <c r="C1932">
        <v>-27</v>
      </c>
    </row>
    <row r="1933" spans="1:3" x14ac:dyDescent="0.5">
      <c r="A1933">
        <v>1907</v>
      </c>
      <c r="B1933" s="1" t="s">
        <v>29</v>
      </c>
      <c r="C1933">
        <v>-36</v>
      </c>
    </row>
    <row r="1934" spans="1:3" x14ac:dyDescent="0.5">
      <c r="A1934">
        <v>1908</v>
      </c>
      <c r="B1934" s="1" t="s">
        <v>29</v>
      </c>
      <c r="C1934">
        <v>-43</v>
      </c>
    </row>
    <row r="1935" spans="1:3" x14ac:dyDescent="0.5">
      <c r="A1935">
        <v>1909</v>
      </c>
      <c r="B1935" s="1" t="s">
        <v>29</v>
      </c>
      <c r="C1935">
        <v>-55</v>
      </c>
    </row>
    <row r="1936" spans="1:3" x14ac:dyDescent="0.5">
      <c r="A1936">
        <v>1910</v>
      </c>
      <c r="B1936" s="1" t="s">
        <v>29</v>
      </c>
      <c r="C1936">
        <v>-47</v>
      </c>
    </row>
    <row r="1937" spans="1:3" x14ac:dyDescent="0.5">
      <c r="A1937">
        <v>1911</v>
      </c>
      <c r="B1937" s="1" t="s">
        <v>29</v>
      </c>
      <c r="C1937">
        <v>-63</v>
      </c>
    </row>
    <row r="1938" spans="1:3" x14ac:dyDescent="0.5">
      <c r="A1938">
        <v>1912</v>
      </c>
      <c r="B1938" s="1" t="s">
        <v>29</v>
      </c>
      <c r="C1938">
        <v>-22</v>
      </c>
    </row>
    <row r="1939" spans="1:3" x14ac:dyDescent="0.5">
      <c r="A1939">
        <v>1913</v>
      </c>
      <c r="B1939" s="1" t="s">
        <v>29</v>
      </c>
      <c r="C1939">
        <v>-41</v>
      </c>
    </row>
    <row r="1940" spans="1:3" x14ac:dyDescent="0.5">
      <c r="A1940">
        <v>1914</v>
      </c>
      <c r="B1940" s="1" t="s">
        <v>29</v>
      </c>
      <c r="C1940">
        <v>-5</v>
      </c>
    </row>
    <row r="1941" spans="1:3" x14ac:dyDescent="0.5">
      <c r="A1941">
        <v>1915</v>
      </c>
      <c r="B1941" s="1" t="s">
        <v>29</v>
      </c>
      <c r="C1941">
        <v>-10</v>
      </c>
    </row>
    <row r="1942" spans="1:3" x14ac:dyDescent="0.5">
      <c r="A1942">
        <v>1916</v>
      </c>
      <c r="B1942" s="1" t="s">
        <v>29</v>
      </c>
      <c r="C1942">
        <v>-21</v>
      </c>
    </row>
    <row r="1943" spans="1:3" x14ac:dyDescent="0.5">
      <c r="A1943">
        <v>1917</v>
      </c>
      <c r="B1943" s="1" t="s">
        <v>29</v>
      </c>
      <c r="C1943">
        <v>-59</v>
      </c>
    </row>
    <row r="1944" spans="1:3" x14ac:dyDescent="0.5">
      <c r="A1944">
        <v>1918</v>
      </c>
      <c r="B1944" s="1" t="s">
        <v>29</v>
      </c>
      <c r="C1944">
        <v>-48</v>
      </c>
    </row>
    <row r="1945" spans="1:3" x14ac:dyDescent="0.5">
      <c r="A1945">
        <v>1919</v>
      </c>
      <c r="B1945" s="1" t="s">
        <v>29</v>
      </c>
      <c r="C1945">
        <v>-21</v>
      </c>
    </row>
    <row r="1946" spans="1:3" x14ac:dyDescent="0.5">
      <c r="A1946">
        <v>1920</v>
      </c>
      <c r="B1946" s="1" t="s">
        <v>29</v>
      </c>
      <c r="C1946">
        <v>-23</v>
      </c>
    </row>
    <row r="1947" spans="1:3" x14ac:dyDescent="0.5">
      <c r="A1947">
        <v>1921</v>
      </c>
      <c r="B1947" s="1" t="s">
        <v>29</v>
      </c>
      <c r="C1947">
        <v>-22</v>
      </c>
    </row>
    <row r="1948" spans="1:3" x14ac:dyDescent="0.5">
      <c r="A1948">
        <v>1922</v>
      </c>
      <c r="B1948" s="1" t="s">
        <v>29</v>
      </c>
      <c r="C1948">
        <v>-29</v>
      </c>
    </row>
    <row r="1949" spans="1:3" x14ac:dyDescent="0.5">
      <c r="A1949">
        <v>1923</v>
      </c>
      <c r="B1949" s="1" t="s">
        <v>29</v>
      </c>
      <c r="C1949">
        <v>-25</v>
      </c>
    </row>
    <row r="1950" spans="1:3" x14ac:dyDescent="0.5">
      <c r="A1950">
        <v>1924</v>
      </c>
      <c r="B1950" s="1" t="s">
        <v>29</v>
      </c>
      <c r="C1950">
        <v>-16</v>
      </c>
    </row>
    <row r="1951" spans="1:3" x14ac:dyDescent="0.5">
      <c r="A1951">
        <v>1925</v>
      </c>
      <c r="B1951" s="1" t="s">
        <v>29</v>
      </c>
      <c r="C1951">
        <v>-35</v>
      </c>
    </row>
    <row r="1952" spans="1:3" x14ac:dyDescent="0.5">
      <c r="A1952">
        <v>1926</v>
      </c>
      <c r="B1952" s="1" t="s">
        <v>29</v>
      </c>
      <c r="C1952">
        <v>14</v>
      </c>
    </row>
    <row r="1953" spans="1:3" x14ac:dyDescent="0.5">
      <c r="A1953">
        <v>1927</v>
      </c>
      <c r="B1953" s="1" t="s">
        <v>29</v>
      </c>
      <c r="C1953">
        <v>-25</v>
      </c>
    </row>
    <row r="1954" spans="1:3" x14ac:dyDescent="0.5">
      <c r="A1954">
        <v>1928</v>
      </c>
      <c r="B1954" s="1" t="s">
        <v>29</v>
      </c>
      <c r="C1954">
        <v>-16</v>
      </c>
    </row>
    <row r="1955" spans="1:3" x14ac:dyDescent="0.5">
      <c r="A1955">
        <v>1929</v>
      </c>
      <c r="B1955" s="1" t="s">
        <v>29</v>
      </c>
      <c r="C1955">
        <v>-41</v>
      </c>
    </row>
    <row r="1956" spans="1:3" x14ac:dyDescent="0.5">
      <c r="A1956">
        <v>1930</v>
      </c>
      <c r="B1956" s="1" t="s">
        <v>29</v>
      </c>
      <c r="C1956">
        <v>-35</v>
      </c>
    </row>
    <row r="1957" spans="1:3" x14ac:dyDescent="0.5">
      <c r="A1957">
        <v>1931</v>
      </c>
      <c r="B1957" s="1" t="s">
        <v>29</v>
      </c>
      <c r="C1957">
        <v>-12</v>
      </c>
    </row>
    <row r="1958" spans="1:3" x14ac:dyDescent="0.5">
      <c r="A1958">
        <v>1932</v>
      </c>
      <c r="B1958" s="1" t="s">
        <v>29</v>
      </c>
      <c r="C1958">
        <v>-4</v>
      </c>
    </row>
    <row r="1959" spans="1:3" x14ac:dyDescent="0.5">
      <c r="A1959">
        <v>1933</v>
      </c>
      <c r="B1959" s="1" t="s">
        <v>29</v>
      </c>
      <c r="C1959">
        <v>-27</v>
      </c>
    </row>
    <row r="1960" spans="1:3" x14ac:dyDescent="0.5">
      <c r="A1960">
        <v>1934</v>
      </c>
      <c r="B1960" s="1" t="s">
        <v>29</v>
      </c>
      <c r="C1960">
        <v>-25</v>
      </c>
    </row>
    <row r="1961" spans="1:3" x14ac:dyDescent="0.5">
      <c r="A1961">
        <v>1935</v>
      </c>
      <c r="B1961" s="1" t="s">
        <v>29</v>
      </c>
      <c r="C1961">
        <v>-11</v>
      </c>
    </row>
    <row r="1962" spans="1:3" x14ac:dyDescent="0.5">
      <c r="A1962">
        <v>1936</v>
      </c>
      <c r="B1962" s="1" t="s">
        <v>29</v>
      </c>
      <c r="C1962">
        <v>-29</v>
      </c>
    </row>
    <row r="1963" spans="1:3" x14ac:dyDescent="0.5">
      <c r="A1963">
        <v>1937</v>
      </c>
      <c r="B1963" s="1" t="s">
        <v>29</v>
      </c>
      <c r="C1963">
        <v>-1</v>
      </c>
    </row>
    <row r="1964" spans="1:3" x14ac:dyDescent="0.5">
      <c r="A1964">
        <v>1938</v>
      </c>
      <c r="B1964" s="1" t="s">
        <v>29</v>
      </c>
      <c r="C1964">
        <v>-3</v>
      </c>
    </row>
    <row r="1965" spans="1:3" x14ac:dyDescent="0.5">
      <c r="A1965">
        <v>1939</v>
      </c>
      <c r="B1965" s="1" t="s">
        <v>29</v>
      </c>
      <c r="C1965">
        <v>-15</v>
      </c>
    </row>
    <row r="1966" spans="1:3" x14ac:dyDescent="0.5">
      <c r="A1966">
        <v>1940</v>
      </c>
      <c r="B1966" s="1" t="s">
        <v>29</v>
      </c>
      <c r="C1966">
        <v>11</v>
      </c>
    </row>
    <row r="1967" spans="1:3" x14ac:dyDescent="0.5">
      <c r="A1967">
        <v>1941</v>
      </c>
      <c r="B1967" s="1" t="s">
        <v>29</v>
      </c>
      <c r="C1967">
        <v>19</v>
      </c>
    </row>
    <row r="1968" spans="1:3" x14ac:dyDescent="0.5">
      <c r="A1968">
        <v>1942</v>
      </c>
      <c r="B1968" s="1" t="s">
        <v>29</v>
      </c>
      <c r="C1968">
        <v>17</v>
      </c>
    </row>
    <row r="1969" spans="1:3" x14ac:dyDescent="0.5">
      <c r="A1969">
        <v>1943</v>
      </c>
      <c r="B1969" s="1" t="s">
        <v>29</v>
      </c>
      <c r="C1969">
        <v>12</v>
      </c>
    </row>
    <row r="1970" spans="1:3" x14ac:dyDescent="0.5">
      <c r="A1970">
        <v>1944</v>
      </c>
      <c r="B1970" s="1" t="s">
        <v>29</v>
      </c>
      <c r="C1970">
        <v>34</v>
      </c>
    </row>
    <row r="1971" spans="1:3" x14ac:dyDescent="0.5">
      <c r="A1971">
        <v>1945</v>
      </c>
      <c r="B1971" s="1" t="s">
        <v>29</v>
      </c>
      <c r="C1971">
        <v>10</v>
      </c>
    </row>
    <row r="1972" spans="1:3" x14ac:dyDescent="0.5">
      <c r="A1972">
        <v>1946</v>
      </c>
      <c r="B1972" s="1" t="s">
        <v>29</v>
      </c>
      <c r="C1972">
        <v>5</v>
      </c>
    </row>
    <row r="1973" spans="1:3" x14ac:dyDescent="0.5">
      <c r="A1973">
        <v>1947</v>
      </c>
      <c r="B1973" s="1" t="s">
        <v>29</v>
      </c>
      <c r="C1973">
        <v>-13</v>
      </c>
    </row>
    <row r="1974" spans="1:3" x14ac:dyDescent="0.5">
      <c r="A1974">
        <v>1948</v>
      </c>
      <c r="B1974" s="1" t="s">
        <v>29</v>
      </c>
      <c r="C1974">
        <v>-7</v>
      </c>
    </row>
    <row r="1975" spans="1:3" x14ac:dyDescent="0.5">
      <c r="A1975">
        <v>1949</v>
      </c>
      <c r="B1975" s="1" t="s">
        <v>29</v>
      </c>
      <c r="C1975">
        <v>-9</v>
      </c>
    </row>
    <row r="1976" spans="1:3" x14ac:dyDescent="0.5">
      <c r="A1976">
        <v>1950</v>
      </c>
      <c r="B1976" s="1" t="s">
        <v>29</v>
      </c>
      <c r="C1976">
        <v>-23</v>
      </c>
    </row>
    <row r="1977" spans="1:3" x14ac:dyDescent="0.5">
      <c r="A1977">
        <v>1951</v>
      </c>
      <c r="B1977" s="1" t="s">
        <v>29</v>
      </c>
      <c r="C1977">
        <v>-32</v>
      </c>
    </row>
    <row r="1978" spans="1:3" x14ac:dyDescent="0.5">
      <c r="A1978">
        <v>1952</v>
      </c>
      <c r="B1978" s="1" t="s">
        <v>29</v>
      </c>
      <c r="C1978">
        <v>15</v>
      </c>
    </row>
    <row r="1979" spans="1:3" x14ac:dyDescent="0.5">
      <c r="A1979">
        <v>1953</v>
      </c>
      <c r="B1979" s="1" t="s">
        <v>29</v>
      </c>
      <c r="C1979">
        <v>8</v>
      </c>
    </row>
    <row r="1980" spans="1:3" x14ac:dyDescent="0.5">
      <c r="A1980">
        <v>1954</v>
      </c>
      <c r="B1980" s="1" t="s">
        <v>29</v>
      </c>
      <c r="C1980">
        <v>-11</v>
      </c>
    </row>
    <row r="1981" spans="1:3" x14ac:dyDescent="0.5">
      <c r="A1981">
        <v>1955</v>
      </c>
      <c r="B1981" s="1" t="s">
        <v>29</v>
      </c>
      <c r="C1981">
        <v>-8</v>
      </c>
    </row>
    <row r="1982" spans="1:3" x14ac:dyDescent="0.5">
      <c r="A1982">
        <v>1956</v>
      </c>
      <c r="B1982" s="1" t="s">
        <v>29</v>
      </c>
      <c r="C1982">
        <v>-24</v>
      </c>
    </row>
    <row r="1983" spans="1:3" x14ac:dyDescent="0.5">
      <c r="A1983">
        <v>1957</v>
      </c>
      <c r="B1983" s="1" t="s">
        <v>29</v>
      </c>
      <c r="C1983">
        <v>-9</v>
      </c>
    </row>
    <row r="1984" spans="1:3" x14ac:dyDescent="0.5">
      <c r="A1984">
        <v>1958</v>
      </c>
      <c r="B1984" s="1" t="s">
        <v>29</v>
      </c>
      <c r="C1984">
        <v>25</v>
      </c>
    </row>
    <row r="1985" spans="1:3" x14ac:dyDescent="0.5">
      <c r="A1985">
        <v>1959</v>
      </c>
      <c r="B1985" s="1" t="s">
        <v>29</v>
      </c>
      <c r="C1985">
        <v>5</v>
      </c>
    </row>
    <row r="1986" spans="1:3" x14ac:dyDescent="0.5">
      <c r="A1986">
        <v>1960</v>
      </c>
      <c r="B1986" s="1" t="s">
        <v>29</v>
      </c>
      <c r="C1986">
        <v>3</v>
      </c>
    </row>
    <row r="1987" spans="1:3" x14ac:dyDescent="0.5">
      <c r="A1987">
        <v>1961</v>
      </c>
      <c r="B1987" s="1" t="s">
        <v>29</v>
      </c>
      <c r="C1987">
        <v>15</v>
      </c>
    </row>
    <row r="1988" spans="1:3" x14ac:dyDescent="0.5">
      <c r="A1988">
        <v>1962</v>
      </c>
      <c r="B1988" s="1" t="s">
        <v>29</v>
      </c>
      <c r="C1988">
        <v>2</v>
      </c>
    </row>
    <row r="1989" spans="1:3" x14ac:dyDescent="0.5">
      <c r="A1989">
        <v>1963</v>
      </c>
      <c r="B1989" s="1" t="s">
        <v>29</v>
      </c>
      <c r="C1989">
        <v>5</v>
      </c>
    </row>
    <row r="1990" spans="1:3" x14ac:dyDescent="0.5">
      <c r="A1990">
        <v>1964</v>
      </c>
      <c r="B1990" s="1" t="s">
        <v>29</v>
      </c>
      <c r="C1990">
        <v>-6</v>
      </c>
    </row>
    <row r="1991" spans="1:3" x14ac:dyDescent="0.5">
      <c r="A1991">
        <v>1965</v>
      </c>
      <c r="B1991" s="1" t="s">
        <v>29</v>
      </c>
      <c r="C1991">
        <v>-19</v>
      </c>
    </row>
    <row r="1992" spans="1:3" x14ac:dyDescent="0.5">
      <c r="A1992">
        <v>1966</v>
      </c>
      <c r="B1992" s="1" t="s">
        <v>29</v>
      </c>
      <c r="C1992">
        <v>-8</v>
      </c>
    </row>
    <row r="1993" spans="1:3" x14ac:dyDescent="0.5">
      <c r="A1993">
        <v>1967</v>
      </c>
      <c r="B1993" s="1" t="s">
        <v>29</v>
      </c>
      <c r="C1993">
        <v>-11</v>
      </c>
    </row>
    <row r="1994" spans="1:3" x14ac:dyDescent="0.5">
      <c r="A1994">
        <v>1968</v>
      </c>
      <c r="B1994" s="1" t="s">
        <v>29</v>
      </c>
      <c r="C1994">
        <v>-13</v>
      </c>
    </row>
    <row r="1995" spans="1:3" x14ac:dyDescent="0.5">
      <c r="A1995">
        <v>1969</v>
      </c>
      <c r="B1995" s="1" t="s">
        <v>29</v>
      </c>
      <c r="C1995">
        <v>-13</v>
      </c>
    </row>
    <row r="1996" spans="1:3" x14ac:dyDescent="0.5">
      <c r="A1996">
        <v>1970</v>
      </c>
      <c r="B1996" s="1" t="s">
        <v>29</v>
      </c>
      <c r="C1996">
        <v>20</v>
      </c>
    </row>
    <row r="1997" spans="1:3" x14ac:dyDescent="0.5">
      <c r="A1997">
        <v>1971</v>
      </c>
      <c r="B1997" s="1" t="s">
        <v>29</v>
      </c>
      <c r="C1997">
        <v>-13</v>
      </c>
    </row>
    <row r="1998" spans="1:3" x14ac:dyDescent="0.5">
      <c r="A1998">
        <v>1972</v>
      </c>
      <c r="B1998" s="1" t="s">
        <v>29</v>
      </c>
      <c r="C1998">
        <v>-17</v>
      </c>
    </row>
    <row r="1999" spans="1:3" x14ac:dyDescent="0.5">
      <c r="A1999">
        <v>1973</v>
      </c>
      <c r="B1999" s="1" t="s">
        <v>29</v>
      </c>
      <c r="C1999">
        <v>25</v>
      </c>
    </row>
    <row r="2000" spans="1:3" x14ac:dyDescent="0.5">
      <c r="A2000">
        <v>1974</v>
      </c>
      <c r="B2000" s="1" t="s">
        <v>29</v>
      </c>
      <c r="C2000">
        <v>-16</v>
      </c>
    </row>
    <row r="2001" spans="1:3" x14ac:dyDescent="0.5">
      <c r="A2001">
        <v>1975</v>
      </c>
      <c r="B2001" s="1" t="s">
        <v>29</v>
      </c>
      <c r="C2001">
        <v>1</v>
      </c>
    </row>
    <row r="2002" spans="1:3" x14ac:dyDescent="0.5">
      <c r="A2002">
        <v>1976</v>
      </c>
      <c r="B2002" s="1" t="s">
        <v>29</v>
      </c>
      <c r="C2002">
        <v>-8</v>
      </c>
    </row>
    <row r="2003" spans="1:3" x14ac:dyDescent="0.5">
      <c r="A2003">
        <v>1977</v>
      </c>
      <c r="B2003" s="1" t="s">
        <v>29</v>
      </c>
      <c r="C2003">
        <v>15</v>
      </c>
    </row>
    <row r="2004" spans="1:3" x14ac:dyDescent="0.5">
      <c r="A2004">
        <v>1978</v>
      </c>
      <c r="B2004" s="1" t="s">
        <v>29</v>
      </c>
      <c r="C2004">
        <v>9</v>
      </c>
    </row>
    <row r="2005" spans="1:3" x14ac:dyDescent="0.5">
      <c r="A2005">
        <v>1979</v>
      </c>
      <c r="B2005" s="1" t="s">
        <v>29</v>
      </c>
      <c r="C2005">
        <v>6</v>
      </c>
    </row>
    <row r="2006" spans="1:3" x14ac:dyDescent="0.5">
      <c r="A2006">
        <v>1980</v>
      </c>
      <c r="B2006" s="1" t="s">
        <v>29</v>
      </c>
      <c r="C2006">
        <v>40</v>
      </c>
    </row>
    <row r="2007" spans="1:3" x14ac:dyDescent="0.5">
      <c r="A2007">
        <v>1981</v>
      </c>
      <c r="B2007" s="1" t="s">
        <v>29</v>
      </c>
      <c r="C2007">
        <v>39</v>
      </c>
    </row>
    <row r="2008" spans="1:3" x14ac:dyDescent="0.5">
      <c r="A2008">
        <v>1982</v>
      </c>
      <c r="B2008" s="1" t="s">
        <v>29</v>
      </c>
      <c r="C2008">
        <v>22</v>
      </c>
    </row>
    <row r="2009" spans="1:3" x14ac:dyDescent="0.5">
      <c r="A2009">
        <v>1983</v>
      </c>
      <c r="B2009" s="1" t="s">
        <v>29</v>
      </c>
      <c r="C2009">
        <v>45</v>
      </c>
    </row>
    <row r="2010" spans="1:3" x14ac:dyDescent="0.5">
      <c r="A2010">
        <v>1984</v>
      </c>
      <c r="B2010" s="1" t="s">
        <v>29</v>
      </c>
      <c r="C2010">
        <v>22</v>
      </c>
    </row>
    <row r="2011" spans="1:3" x14ac:dyDescent="0.5">
      <c r="A2011">
        <v>1985</v>
      </c>
      <c r="B2011" s="1" t="s">
        <v>29</v>
      </c>
      <c r="C2011">
        <v>4</v>
      </c>
    </row>
    <row r="2012" spans="1:3" x14ac:dyDescent="0.5">
      <c r="A2012">
        <v>1986</v>
      </c>
      <c r="B2012" s="1" t="s">
        <v>29</v>
      </c>
      <c r="C2012">
        <v>28</v>
      </c>
    </row>
    <row r="2013" spans="1:3" x14ac:dyDescent="0.5">
      <c r="A2013">
        <v>1987</v>
      </c>
      <c r="B2013" s="1" t="s">
        <v>29</v>
      </c>
      <c r="C2013">
        <v>33</v>
      </c>
    </row>
    <row r="2014" spans="1:3" x14ac:dyDescent="0.5">
      <c r="A2014">
        <v>1988</v>
      </c>
      <c r="B2014" s="1" t="s">
        <v>29</v>
      </c>
      <c r="C2014">
        <v>49</v>
      </c>
    </row>
    <row r="2015" spans="1:3" x14ac:dyDescent="0.5">
      <c r="A2015">
        <v>1989</v>
      </c>
      <c r="B2015" s="1" t="s">
        <v>29</v>
      </c>
      <c r="C2015">
        <v>28</v>
      </c>
    </row>
    <row r="2016" spans="1:3" x14ac:dyDescent="0.5">
      <c r="A2016">
        <v>1990</v>
      </c>
      <c r="B2016" s="1" t="s">
        <v>29</v>
      </c>
      <c r="C2016">
        <v>39</v>
      </c>
    </row>
    <row r="2017" spans="1:3" x14ac:dyDescent="0.5">
      <c r="A2017">
        <v>1991</v>
      </c>
      <c r="B2017" s="1" t="s">
        <v>29</v>
      </c>
      <c r="C2017">
        <v>44</v>
      </c>
    </row>
    <row r="2018" spans="1:3" x14ac:dyDescent="0.5">
      <c r="A2018">
        <v>1992</v>
      </c>
      <c r="B2018" s="1" t="s">
        <v>29</v>
      </c>
      <c r="C2018">
        <v>40</v>
      </c>
    </row>
    <row r="2019" spans="1:3" x14ac:dyDescent="0.5">
      <c r="A2019">
        <v>1993</v>
      </c>
      <c r="B2019" s="1" t="s">
        <v>29</v>
      </c>
      <c r="C2019">
        <v>33</v>
      </c>
    </row>
    <row r="2020" spans="1:3" x14ac:dyDescent="0.5">
      <c r="A2020">
        <v>1994</v>
      </c>
      <c r="B2020" s="1" t="s">
        <v>29</v>
      </c>
      <c r="C2020">
        <v>18</v>
      </c>
    </row>
    <row r="2021" spans="1:3" x14ac:dyDescent="0.5">
      <c r="A2021">
        <v>1995</v>
      </c>
      <c r="B2021" s="1" t="s">
        <v>29</v>
      </c>
      <c r="C2021">
        <v>55</v>
      </c>
    </row>
    <row r="2022" spans="1:3" x14ac:dyDescent="0.5">
      <c r="A2022">
        <v>1996</v>
      </c>
      <c r="B2022" s="1" t="s">
        <v>29</v>
      </c>
      <c r="C2022">
        <v>35</v>
      </c>
    </row>
    <row r="2023" spans="1:3" x14ac:dyDescent="0.5">
      <c r="A2023">
        <v>1997</v>
      </c>
      <c r="B2023" s="1" t="s">
        <v>29</v>
      </c>
      <c r="C2023">
        <v>37</v>
      </c>
    </row>
    <row r="2024" spans="1:3" x14ac:dyDescent="0.5">
      <c r="A2024">
        <v>1998</v>
      </c>
      <c r="B2024" s="1" t="s">
        <v>29</v>
      </c>
      <c r="C2024">
        <v>70</v>
      </c>
    </row>
    <row r="2025" spans="1:3" x14ac:dyDescent="0.5">
      <c r="A2025">
        <v>1999</v>
      </c>
      <c r="B2025" s="1" t="s">
        <v>29</v>
      </c>
      <c r="C2025">
        <v>58</v>
      </c>
    </row>
    <row r="2026" spans="1:3" x14ac:dyDescent="0.5">
      <c r="A2026">
        <v>2000</v>
      </c>
      <c r="B2026" s="1" t="s">
        <v>29</v>
      </c>
      <c r="C2026">
        <v>44</v>
      </c>
    </row>
    <row r="2027" spans="1:3" x14ac:dyDescent="0.5">
      <c r="A2027">
        <v>2001</v>
      </c>
      <c r="B2027" s="1" t="s">
        <v>29</v>
      </c>
      <c r="C2027">
        <v>41</v>
      </c>
    </row>
    <row r="2028" spans="1:3" x14ac:dyDescent="0.5">
      <c r="A2028">
        <v>2002</v>
      </c>
      <c r="B2028" s="1" t="s">
        <v>29</v>
      </c>
      <c r="C2028">
        <v>68</v>
      </c>
    </row>
    <row r="2029" spans="1:3" x14ac:dyDescent="0.5">
      <c r="A2029">
        <v>2003</v>
      </c>
      <c r="B2029" s="1" t="s">
        <v>29</v>
      </c>
      <c r="C2029">
        <v>57</v>
      </c>
    </row>
    <row r="2030" spans="1:3" x14ac:dyDescent="0.5">
      <c r="A2030">
        <v>2004</v>
      </c>
      <c r="B2030" s="1" t="s">
        <v>29</v>
      </c>
      <c r="C2030">
        <v>67</v>
      </c>
    </row>
    <row r="2031" spans="1:3" x14ac:dyDescent="0.5">
      <c r="A2031">
        <v>2005</v>
      </c>
      <c r="B2031" s="1" t="s">
        <v>29</v>
      </c>
      <c r="C2031">
        <v>61</v>
      </c>
    </row>
    <row r="2032" spans="1:3" x14ac:dyDescent="0.5">
      <c r="A2032">
        <v>2006</v>
      </c>
      <c r="B2032" s="1" t="s">
        <v>29</v>
      </c>
      <c r="C2032">
        <v>65</v>
      </c>
    </row>
    <row r="2033" spans="1:3" x14ac:dyDescent="0.5">
      <c r="A2033">
        <v>2007</v>
      </c>
      <c r="B2033" s="1" t="s">
        <v>29</v>
      </c>
      <c r="C2033">
        <v>82</v>
      </c>
    </row>
    <row r="2034" spans="1:3" x14ac:dyDescent="0.5">
      <c r="A2034">
        <v>2008</v>
      </c>
      <c r="B2034" s="1" t="s">
        <v>29</v>
      </c>
      <c r="C2034">
        <v>37</v>
      </c>
    </row>
    <row r="2035" spans="1:3" x14ac:dyDescent="0.5">
      <c r="A2035">
        <v>2009</v>
      </c>
      <c r="B2035" s="1" t="s">
        <v>29</v>
      </c>
      <c r="C2035">
        <v>57</v>
      </c>
    </row>
    <row r="2036" spans="1:3" x14ac:dyDescent="0.5">
      <c r="A2036">
        <v>2010</v>
      </c>
      <c r="B2036" s="1" t="s">
        <v>29</v>
      </c>
      <c r="C2036">
        <v>72</v>
      </c>
    </row>
    <row r="2037" spans="1:3" x14ac:dyDescent="0.5">
      <c r="A2037">
        <v>2011</v>
      </c>
      <c r="B2037" s="1" t="s">
        <v>29</v>
      </c>
      <c r="C2037">
        <v>50</v>
      </c>
    </row>
    <row r="2038" spans="1:3" x14ac:dyDescent="0.5">
      <c r="A2038">
        <v>2012</v>
      </c>
      <c r="B2038" s="1" t="s">
        <v>29</v>
      </c>
      <c r="C2038">
        <v>49</v>
      </c>
    </row>
    <row r="2039" spans="1:3" x14ac:dyDescent="0.5">
      <c r="A2039">
        <v>2013</v>
      </c>
      <c r="B2039" s="1" t="s">
        <v>29</v>
      </c>
      <c r="C2039">
        <v>58</v>
      </c>
    </row>
    <row r="2040" spans="1:3" x14ac:dyDescent="0.5">
      <c r="A2040">
        <v>2014</v>
      </c>
      <c r="B2040" s="1" t="s">
        <v>29</v>
      </c>
      <c r="C2040">
        <v>64</v>
      </c>
    </row>
    <row r="2041" spans="1:3" x14ac:dyDescent="0.5">
      <c r="A2041">
        <v>2015</v>
      </c>
      <c r="B2041" s="1" t="s">
        <v>29</v>
      </c>
      <c r="C2041">
        <v>83</v>
      </c>
    </row>
    <row r="2042" spans="1:3" x14ac:dyDescent="0.5">
      <c r="A2042">
        <v>1880</v>
      </c>
      <c r="B2042" s="1" t="s">
        <v>30</v>
      </c>
      <c r="C2042">
        <v>-19</v>
      </c>
    </row>
    <row r="2043" spans="1:3" x14ac:dyDescent="0.5">
      <c r="A2043">
        <v>1881</v>
      </c>
      <c r="B2043" s="1" t="s">
        <v>30</v>
      </c>
      <c r="C2043">
        <v>-1</v>
      </c>
    </row>
    <row r="2044" spans="1:3" x14ac:dyDescent="0.5">
      <c r="A2044">
        <v>1882</v>
      </c>
      <c r="B2044" s="1" t="s">
        <v>30</v>
      </c>
      <c r="C2044">
        <v>-11</v>
      </c>
    </row>
    <row r="2045" spans="1:3" x14ac:dyDescent="0.5">
      <c r="A2045">
        <v>1883</v>
      </c>
      <c r="B2045" s="1" t="s">
        <v>30</v>
      </c>
      <c r="C2045">
        <v>-22</v>
      </c>
    </row>
    <row r="2046" spans="1:3" x14ac:dyDescent="0.5">
      <c r="A2046">
        <v>1884</v>
      </c>
      <c r="B2046" s="1" t="s">
        <v>30</v>
      </c>
      <c r="C2046">
        <v>-33</v>
      </c>
    </row>
    <row r="2047" spans="1:3" x14ac:dyDescent="0.5">
      <c r="A2047">
        <v>1885</v>
      </c>
      <c r="B2047" s="1" t="s">
        <v>30</v>
      </c>
      <c r="C2047">
        <v>-36</v>
      </c>
    </row>
    <row r="2048" spans="1:3" x14ac:dyDescent="0.5">
      <c r="A2048">
        <v>1886</v>
      </c>
      <c r="B2048" s="1" t="s">
        <v>30</v>
      </c>
      <c r="C2048">
        <v>-32</v>
      </c>
    </row>
    <row r="2049" spans="1:3" x14ac:dyDescent="0.5">
      <c r="A2049">
        <v>1887</v>
      </c>
      <c r="B2049" s="1" t="s">
        <v>30</v>
      </c>
      <c r="C2049">
        <v>-33</v>
      </c>
    </row>
    <row r="2050" spans="1:3" x14ac:dyDescent="0.5">
      <c r="A2050">
        <v>1888</v>
      </c>
      <c r="B2050" s="1" t="s">
        <v>30</v>
      </c>
      <c r="C2050">
        <v>-32</v>
      </c>
    </row>
    <row r="2051" spans="1:3" x14ac:dyDescent="0.5">
      <c r="A2051">
        <v>1889</v>
      </c>
      <c r="B2051" s="1" t="s">
        <v>30</v>
      </c>
      <c r="C2051">
        <v>2</v>
      </c>
    </row>
    <row r="2052" spans="1:3" x14ac:dyDescent="0.5">
      <c r="A2052">
        <v>1890</v>
      </c>
      <c r="B2052" s="1" t="s">
        <v>30</v>
      </c>
      <c r="C2052">
        <v>-42</v>
      </c>
    </row>
    <row r="2053" spans="1:3" x14ac:dyDescent="0.5">
      <c r="A2053">
        <v>1891</v>
      </c>
      <c r="B2053" s="1" t="s">
        <v>30</v>
      </c>
      <c r="C2053">
        <v>-19</v>
      </c>
    </row>
    <row r="2054" spans="1:3" x14ac:dyDescent="0.5">
      <c r="A2054">
        <v>1892</v>
      </c>
      <c r="B2054" s="1" t="s">
        <v>30</v>
      </c>
      <c r="C2054">
        <v>-31</v>
      </c>
    </row>
    <row r="2055" spans="1:3" x14ac:dyDescent="0.5">
      <c r="A2055">
        <v>1893</v>
      </c>
      <c r="B2055" s="1" t="s">
        <v>30</v>
      </c>
      <c r="C2055">
        <v>-30</v>
      </c>
    </row>
    <row r="2056" spans="1:3" x14ac:dyDescent="0.5">
      <c r="A2056">
        <v>1894</v>
      </c>
      <c r="B2056" s="1" t="s">
        <v>30</v>
      </c>
      <c r="C2056">
        <v>-30</v>
      </c>
    </row>
    <row r="2057" spans="1:3" x14ac:dyDescent="0.5">
      <c r="A2057">
        <v>1895</v>
      </c>
      <c r="B2057" s="1" t="s">
        <v>30</v>
      </c>
      <c r="C2057">
        <v>-24</v>
      </c>
    </row>
    <row r="2058" spans="1:3" x14ac:dyDescent="0.5">
      <c r="A2058">
        <v>1896</v>
      </c>
      <c r="B2058" s="1" t="s">
        <v>30</v>
      </c>
      <c r="C2058">
        <v>-27</v>
      </c>
    </row>
    <row r="2059" spans="1:3" x14ac:dyDescent="0.5">
      <c r="A2059">
        <v>1897</v>
      </c>
      <c r="B2059" s="1" t="s">
        <v>30</v>
      </c>
      <c r="C2059">
        <v>-5</v>
      </c>
    </row>
    <row r="2060" spans="1:3" x14ac:dyDescent="0.5">
      <c r="A2060">
        <v>1898</v>
      </c>
      <c r="B2060" s="1" t="s">
        <v>30</v>
      </c>
      <c r="C2060">
        <v>-42</v>
      </c>
    </row>
    <row r="2061" spans="1:3" x14ac:dyDescent="0.5">
      <c r="A2061">
        <v>1899</v>
      </c>
      <c r="B2061" s="1" t="s">
        <v>30</v>
      </c>
      <c r="C2061">
        <v>-25</v>
      </c>
    </row>
    <row r="2062" spans="1:3" x14ac:dyDescent="0.5">
      <c r="A2062">
        <v>1900</v>
      </c>
      <c r="B2062" s="1" t="s">
        <v>30</v>
      </c>
      <c r="C2062">
        <v>-5</v>
      </c>
    </row>
    <row r="2063" spans="1:3" x14ac:dyDescent="0.5">
      <c r="A2063">
        <v>1901</v>
      </c>
      <c r="B2063" s="1" t="s">
        <v>30</v>
      </c>
      <c r="C2063">
        <v>-5</v>
      </c>
    </row>
    <row r="2064" spans="1:3" x14ac:dyDescent="0.5">
      <c r="A2064">
        <v>1902</v>
      </c>
      <c r="B2064" s="1" t="s">
        <v>30</v>
      </c>
      <c r="C2064">
        <v>-28</v>
      </c>
    </row>
    <row r="2065" spans="1:3" x14ac:dyDescent="0.5">
      <c r="A2065">
        <v>1903</v>
      </c>
      <c r="B2065" s="1" t="s">
        <v>30</v>
      </c>
      <c r="C2065">
        <v>-34</v>
      </c>
    </row>
    <row r="2066" spans="1:3" x14ac:dyDescent="0.5">
      <c r="A2066">
        <v>1904</v>
      </c>
      <c r="B2066" s="1" t="s">
        <v>30</v>
      </c>
      <c r="C2066">
        <v>-48</v>
      </c>
    </row>
    <row r="2067" spans="1:3" x14ac:dyDescent="0.5">
      <c r="A2067">
        <v>1905</v>
      </c>
      <c r="B2067" s="1" t="s">
        <v>30</v>
      </c>
      <c r="C2067">
        <v>-31</v>
      </c>
    </row>
    <row r="2068" spans="1:3" x14ac:dyDescent="0.5">
      <c r="A2068">
        <v>1906</v>
      </c>
      <c r="B2068" s="1" t="s">
        <v>30</v>
      </c>
      <c r="C2068">
        <v>-12</v>
      </c>
    </row>
    <row r="2069" spans="1:3" x14ac:dyDescent="0.5">
      <c r="A2069">
        <v>1907</v>
      </c>
      <c r="B2069" s="1" t="s">
        <v>30</v>
      </c>
      <c r="C2069">
        <v>-36</v>
      </c>
    </row>
    <row r="2070" spans="1:3" x14ac:dyDescent="0.5">
      <c r="A2070">
        <v>1908</v>
      </c>
      <c r="B2070" s="1" t="s">
        <v>30</v>
      </c>
      <c r="C2070">
        <v>-47</v>
      </c>
    </row>
    <row r="2071" spans="1:3" x14ac:dyDescent="0.5">
      <c r="A2071">
        <v>1909</v>
      </c>
      <c r="B2071" s="1" t="s">
        <v>30</v>
      </c>
      <c r="C2071">
        <v>-55</v>
      </c>
    </row>
    <row r="2072" spans="1:3" x14ac:dyDescent="0.5">
      <c r="A2072">
        <v>1910</v>
      </c>
      <c r="B2072" s="1" t="s">
        <v>30</v>
      </c>
      <c r="C2072">
        <v>-39</v>
      </c>
    </row>
    <row r="2073" spans="1:3" x14ac:dyDescent="0.5">
      <c r="A2073">
        <v>1911</v>
      </c>
      <c r="B2073" s="1" t="s">
        <v>30</v>
      </c>
      <c r="C2073">
        <v>-56</v>
      </c>
    </row>
    <row r="2074" spans="1:3" x14ac:dyDescent="0.5">
      <c r="A2074">
        <v>1912</v>
      </c>
      <c r="B2074" s="1" t="s">
        <v>30</v>
      </c>
      <c r="C2074">
        <v>-26</v>
      </c>
    </row>
    <row r="2075" spans="1:3" x14ac:dyDescent="0.5">
      <c r="A2075">
        <v>1913</v>
      </c>
      <c r="B2075" s="1" t="s">
        <v>30</v>
      </c>
      <c r="C2075">
        <v>-41</v>
      </c>
    </row>
    <row r="2076" spans="1:3" x14ac:dyDescent="0.5">
      <c r="A2076">
        <v>1914</v>
      </c>
      <c r="B2076" s="1" t="s">
        <v>30</v>
      </c>
      <c r="C2076">
        <v>-23</v>
      </c>
    </row>
    <row r="2077" spans="1:3" x14ac:dyDescent="0.5">
      <c r="A2077">
        <v>1915</v>
      </c>
      <c r="B2077" s="1" t="s">
        <v>30</v>
      </c>
      <c r="C2077">
        <v>-1</v>
      </c>
    </row>
    <row r="2078" spans="1:3" x14ac:dyDescent="0.5">
      <c r="A2078">
        <v>1916</v>
      </c>
      <c r="B2078" s="1" t="s">
        <v>30</v>
      </c>
      <c r="C2078">
        <v>-26</v>
      </c>
    </row>
    <row r="2079" spans="1:3" x14ac:dyDescent="0.5">
      <c r="A2079">
        <v>1917</v>
      </c>
      <c r="B2079" s="1" t="s">
        <v>30</v>
      </c>
      <c r="C2079">
        <v>-45</v>
      </c>
    </row>
    <row r="2080" spans="1:3" x14ac:dyDescent="0.5">
      <c r="A2080">
        <v>1918</v>
      </c>
      <c r="B2080" s="1" t="s">
        <v>30</v>
      </c>
      <c r="C2080">
        <v>-31</v>
      </c>
    </row>
    <row r="2081" spans="1:3" x14ac:dyDescent="0.5">
      <c r="A2081">
        <v>1919</v>
      </c>
      <c r="B2081" s="1" t="s">
        <v>30</v>
      </c>
      <c r="C2081">
        <v>-20</v>
      </c>
    </row>
    <row r="2082" spans="1:3" x14ac:dyDescent="0.5">
      <c r="A2082">
        <v>1920</v>
      </c>
      <c r="B2082" s="1" t="s">
        <v>30</v>
      </c>
      <c r="C2082">
        <v>-18</v>
      </c>
    </row>
    <row r="2083" spans="1:3" x14ac:dyDescent="0.5">
      <c r="A2083">
        <v>1921</v>
      </c>
      <c r="B2083" s="1" t="s">
        <v>30</v>
      </c>
      <c r="C2083">
        <v>-32</v>
      </c>
    </row>
    <row r="2084" spans="1:3" x14ac:dyDescent="0.5">
      <c r="A2084">
        <v>1922</v>
      </c>
      <c r="B2084" s="1" t="s">
        <v>30</v>
      </c>
      <c r="C2084">
        <v>-21</v>
      </c>
    </row>
    <row r="2085" spans="1:3" x14ac:dyDescent="0.5">
      <c r="A2085">
        <v>1923</v>
      </c>
      <c r="B2085" s="1" t="s">
        <v>30</v>
      </c>
      <c r="C2085">
        <v>-33</v>
      </c>
    </row>
    <row r="2086" spans="1:3" x14ac:dyDescent="0.5">
      <c r="A2086">
        <v>1924</v>
      </c>
      <c r="B2086" s="1" t="s">
        <v>30</v>
      </c>
      <c r="C2086">
        <v>-20</v>
      </c>
    </row>
    <row r="2087" spans="1:3" x14ac:dyDescent="0.5">
      <c r="A2087">
        <v>1925</v>
      </c>
      <c r="B2087" s="1" t="s">
        <v>30</v>
      </c>
      <c r="C2087">
        <v>-25</v>
      </c>
    </row>
    <row r="2088" spans="1:3" x14ac:dyDescent="0.5">
      <c r="A2088">
        <v>1926</v>
      </c>
      <c r="B2088" s="1" t="s">
        <v>30</v>
      </c>
      <c r="C2088">
        <v>-8</v>
      </c>
    </row>
    <row r="2089" spans="1:3" x14ac:dyDescent="0.5">
      <c r="A2089">
        <v>1927</v>
      </c>
      <c r="B2089" s="1" t="s">
        <v>30</v>
      </c>
      <c r="C2089">
        <v>-31</v>
      </c>
    </row>
    <row r="2090" spans="1:3" x14ac:dyDescent="0.5">
      <c r="A2090">
        <v>1928</v>
      </c>
      <c r="B2090" s="1" t="s">
        <v>30</v>
      </c>
      <c r="C2090">
        <v>-28</v>
      </c>
    </row>
    <row r="2091" spans="1:3" x14ac:dyDescent="0.5">
      <c r="A2091">
        <v>1929</v>
      </c>
      <c r="B2091" s="1" t="s">
        <v>30</v>
      </c>
      <c r="C2091">
        <v>-38</v>
      </c>
    </row>
    <row r="2092" spans="1:3" x14ac:dyDescent="0.5">
      <c r="A2092">
        <v>1930</v>
      </c>
      <c r="B2092" s="1" t="s">
        <v>30</v>
      </c>
      <c r="C2092">
        <v>-19</v>
      </c>
    </row>
    <row r="2093" spans="1:3" x14ac:dyDescent="0.5">
      <c r="A2093">
        <v>1931</v>
      </c>
      <c r="B2093" s="1" t="s">
        <v>30</v>
      </c>
      <c r="C2093">
        <v>-16</v>
      </c>
    </row>
    <row r="2094" spans="1:3" x14ac:dyDescent="0.5">
      <c r="A2094">
        <v>1932</v>
      </c>
      <c r="B2094" s="1" t="s">
        <v>30</v>
      </c>
      <c r="C2094">
        <v>-16</v>
      </c>
    </row>
    <row r="2095" spans="1:3" x14ac:dyDescent="0.5">
      <c r="A2095">
        <v>1933</v>
      </c>
      <c r="B2095" s="1" t="s">
        <v>30</v>
      </c>
      <c r="C2095">
        <v>-25</v>
      </c>
    </row>
    <row r="2096" spans="1:3" x14ac:dyDescent="0.5">
      <c r="A2096">
        <v>1934</v>
      </c>
      <c r="B2096" s="1" t="s">
        <v>30</v>
      </c>
      <c r="C2096">
        <v>-22</v>
      </c>
    </row>
    <row r="2097" spans="1:3" x14ac:dyDescent="0.5">
      <c r="A2097">
        <v>1935</v>
      </c>
      <c r="B2097" s="1" t="s">
        <v>30</v>
      </c>
      <c r="C2097">
        <v>-24</v>
      </c>
    </row>
    <row r="2098" spans="1:3" x14ac:dyDescent="0.5">
      <c r="A2098">
        <v>1936</v>
      </c>
      <c r="B2098" s="1" t="s">
        <v>30</v>
      </c>
      <c r="C2098">
        <v>-20</v>
      </c>
    </row>
    <row r="2099" spans="1:3" x14ac:dyDescent="0.5">
      <c r="A2099">
        <v>1937</v>
      </c>
      <c r="B2099" s="1" t="s">
        <v>30</v>
      </c>
      <c r="C2099">
        <v>-13</v>
      </c>
    </row>
    <row r="2100" spans="1:3" x14ac:dyDescent="0.5">
      <c r="A2100">
        <v>1938</v>
      </c>
      <c r="B2100" s="1" t="s">
        <v>30</v>
      </c>
      <c r="C2100">
        <v>2</v>
      </c>
    </row>
    <row r="2101" spans="1:3" x14ac:dyDescent="0.5">
      <c r="A2101">
        <v>1939</v>
      </c>
      <c r="B2101" s="1" t="s">
        <v>30</v>
      </c>
      <c r="C2101">
        <v>-13</v>
      </c>
    </row>
    <row r="2102" spans="1:3" x14ac:dyDescent="0.5">
      <c r="A2102">
        <v>1940</v>
      </c>
      <c r="B2102" s="1" t="s">
        <v>30</v>
      </c>
      <c r="C2102">
        <v>11</v>
      </c>
    </row>
    <row r="2103" spans="1:3" x14ac:dyDescent="0.5">
      <c r="A2103">
        <v>1941</v>
      </c>
      <c r="B2103" s="1" t="s">
        <v>30</v>
      </c>
      <c r="C2103">
        <v>9</v>
      </c>
    </row>
    <row r="2104" spans="1:3" x14ac:dyDescent="0.5">
      <c r="A2104">
        <v>1942</v>
      </c>
      <c r="B2104" s="1" t="s">
        <v>30</v>
      </c>
      <c r="C2104">
        <v>13</v>
      </c>
    </row>
    <row r="2105" spans="1:3" x14ac:dyDescent="0.5">
      <c r="A2105">
        <v>1943</v>
      </c>
      <c r="B2105" s="1" t="s">
        <v>30</v>
      </c>
      <c r="C2105">
        <v>9</v>
      </c>
    </row>
    <row r="2106" spans="1:3" x14ac:dyDescent="0.5">
      <c r="A2106">
        <v>1944</v>
      </c>
      <c r="B2106" s="1" t="s">
        <v>30</v>
      </c>
      <c r="C2106">
        <v>30</v>
      </c>
    </row>
    <row r="2107" spans="1:3" x14ac:dyDescent="0.5">
      <c r="A2107">
        <v>1945</v>
      </c>
      <c r="B2107" s="1" t="s">
        <v>30</v>
      </c>
      <c r="C2107">
        <v>16</v>
      </c>
    </row>
    <row r="2108" spans="1:3" x14ac:dyDescent="0.5">
      <c r="A2108">
        <v>1946</v>
      </c>
      <c r="B2108" s="1" t="s">
        <v>30</v>
      </c>
      <c r="C2108">
        <v>3</v>
      </c>
    </row>
    <row r="2109" spans="1:3" x14ac:dyDescent="0.5">
      <c r="A2109">
        <v>1947</v>
      </c>
      <c r="B2109" s="1" t="s">
        <v>30</v>
      </c>
      <c r="C2109">
        <v>2</v>
      </c>
    </row>
    <row r="2110" spans="1:3" x14ac:dyDescent="0.5">
      <c r="A2110">
        <v>1948</v>
      </c>
      <c r="B2110" s="1" t="s">
        <v>30</v>
      </c>
      <c r="C2110">
        <v>-9</v>
      </c>
    </row>
    <row r="2111" spans="1:3" x14ac:dyDescent="0.5">
      <c r="A2111">
        <v>1949</v>
      </c>
      <c r="B2111" s="1" t="s">
        <v>30</v>
      </c>
      <c r="C2111">
        <v>-6</v>
      </c>
    </row>
    <row r="2112" spans="1:3" x14ac:dyDescent="0.5">
      <c r="A2112">
        <v>1950</v>
      </c>
      <c r="B2112" s="1" t="s">
        <v>30</v>
      </c>
      <c r="C2112">
        <v>-14</v>
      </c>
    </row>
    <row r="2113" spans="1:3" x14ac:dyDescent="0.5">
      <c r="A2113">
        <v>1951</v>
      </c>
      <c r="B2113" s="1" t="s">
        <v>30</v>
      </c>
      <c r="C2113">
        <v>-10</v>
      </c>
    </row>
    <row r="2114" spans="1:3" x14ac:dyDescent="0.5">
      <c r="A2114">
        <v>1952</v>
      </c>
      <c r="B2114" s="1" t="s">
        <v>30</v>
      </c>
      <c r="C2114">
        <v>-4</v>
      </c>
    </row>
    <row r="2115" spans="1:3" x14ac:dyDescent="0.5">
      <c r="A2115">
        <v>1953</v>
      </c>
      <c r="B2115" s="1" t="s">
        <v>30</v>
      </c>
      <c r="C2115">
        <v>13</v>
      </c>
    </row>
    <row r="2116" spans="1:3" x14ac:dyDescent="0.5">
      <c r="A2116">
        <v>1954</v>
      </c>
      <c r="B2116" s="1" t="s">
        <v>30</v>
      </c>
      <c r="C2116">
        <v>-16</v>
      </c>
    </row>
    <row r="2117" spans="1:3" x14ac:dyDescent="0.5">
      <c r="A2117">
        <v>1955</v>
      </c>
      <c r="B2117" s="1" t="s">
        <v>30</v>
      </c>
      <c r="C2117">
        <v>-26</v>
      </c>
    </row>
    <row r="2118" spans="1:3" x14ac:dyDescent="0.5">
      <c r="A2118">
        <v>1956</v>
      </c>
      <c r="B2118" s="1" t="s">
        <v>30</v>
      </c>
      <c r="C2118">
        <v>-25</v>
      </c>
    </row>
    <row r="2119" spans="1:3" x14ac:dyDescent="0.5">
      <c r="A2119">
        <v>1957</v>
      </c>
      <c r="B2119" s="1" t="s">
        <v>30</v>
      </c>
      <c r="C2119">
        <v>0</v>
      </c>
    </row>
    <row r="2120" spans="1:3" x14ac:dyDescent="0.5">
      <c r="A2120">
        <v>1958</v>
      </c>
      <c r="B2120" s="1" t="s">
        <v>30</v>
      </c>
      <c r="C2120">
        <v>6</v>
      </c>
    </row>
    <row r="2121" spans="1:3" x14ac:dyDescent="0.5">
      <c r="A2121">
        <v>1959</v>
      </c>
      <c r="B2121" s="1" t="s">
        <v>30</v>
      </c>
      <c r="C2121">
        <v>14</v>
      </c>
    </row>
    <row r="2122" spans="1:3" x14ac:dyDescent="0.5">
      <c r="A2122">
        <v>1960</v>
      </c>
      <c r="B2122" s="1" t="s">
        <v>30</v>
      </c>
      <c r="C2122">
        <v>-20</v>
      </c>
    </row>
    <row r="2123" spans="1:3" x14ac:dyDescent="0.5">
      <c r="A2123">
        <v>1961</v>
      </c>
      <c r="B2123" s="1" t="s">
        <v>30</v>
      </c>
      <c r="C2123">
        <v>13</v>
      </c>
    </row>
    <row r="2124" spans="1:3" x14ac:dyDescent="0.5">
      <c r="A2124">
        <v>1962</v>
      </c>
      <c r="B2124" s="1" t="s">
        <v>30</v>
      </c>
      <c r="C2124">
        <v>3</v>
      </c>
    </row>
    <row r="2125" spans="1:3" x14ac:dyDescent="0.5">
      <c r="A2125">
        <v>1963</v>
      </c>
      <c r="B2125" s="1" t="s">
        <v>30</v>
      </c>
      <c r="C2125">
        <v>-10</v>
      </c>
    </row>
    <row r="2126" spans="1:3" x14ac:dyDescent="0.5">
      <c r="A2126">
        <v>1964</v>
      </c>
      <c r="B2126" s="1" t="s">
        <v>30</v>
      </c>
      <c r="C2126">
        <v>-27</v>
      </c>
    </row>
    <row r="2127" spans="1:3" x14ac:dyDescent="0.5">
      <c r="A2127">
        <v>1965</v>
      </c>
      <c r="B2127" s="1" t="s">
        <v>30</v>
      </c>
      <c r="C2127">
        <v>-15</v>
      </c>
    </row>
    <row r="2128" spans="1:3" x14ac:dyDescent="0.5">
      <c r="A2128">
        <v>1966</v>
      </c>
      <c r="B2128" s="1" t="s">
        <v>30</v>
      </c>
      <c r="C2128">
        <v>-6</v>
      </c>
    </row>
    <row r="2129" spans="1:3" x14ac:dyDescent="0.5">
      <c r="A2129">
        <v>1967</v>
      </c>
      <c r="B2129" s="1" t="s">
        <v>30</v>
      </c>
      <c r="C2129">
        <v>4</v>
      </c>
    </row>
    <row r="2130" spans="1:3" x14ac:dyDescent="0.5">
      <c r="A2130">
        <v>1968</v>
      </c>
      <c r="B2130" s="1" t="s">
        <v>30</v>
      </c>
      <c r="C2130">
        <v>2</v>
      </c>
    </row>
    <row r="2131" spans="1:3" x14ac:dyDescent="0.5">
      <c r="A2131">
        <v>1969</v>
      </c>
      <c r="B2131" s="1" t="s">
        <v>30</v>
      </c>
      <c r="C2131">
        <v>13</v>
      </c>
    </row>
    <row r="2132" spans="1:3" x14ac:dyDescent="0.5">
      <c r="A2132">
        <v>1970</v>
      </c>
      <c r="B2132" s="1" t="s">
        <v>30</v>
      </c>
      <c r="C2132">
        <v>4</v>
      </c>
    </row>
    <row r="2133" spans="1:3" x14ac:dyDescent="0.5">
      <c r="A2133">
        <v>1971</v>
      </c>
      <c r="B2133" s="1" t="s">
        <v>30</v>
      </c>
      <c r="C2133">
        <v>-12</v>
      </c>
    </row>
    <row r="2134" spans="1:3" x14ac:dyDescent="0.5">
      <c r="A2134">
        <v>1972</v>
      </c>
      <c r="B2134" s="1" t="s">
        <v>30</v>
      </c>
      <c r="C2134">
        <v>0</v>
      </c>
    </row>
    <row r="2135" spans="1:3" x14ac:dyDescent="0.5">
      <c r="A2135">
        <v>1973</v>
      </c>
      <c r="B2135" s="1" t="s">
        <v>30</v>
      </c>
      <c r="C2135">
        <v>25</v>
      </c>
    </row>
    <row r="2136" spans="1:3" x14ac:dyDescent="0.5">
      <c r="A2136">
        <v>1974</v>
      </c>
      <c r="B2136" s="1" t="s">
        <v>30</v>
      </c>
      <c r="C2136">
        <v>-5</v>
      </c>
    </row>
    <row r="2137" spans="1:3" x14ac:dyDescent="0.5">
      <c r="A2137">
        <v>1975</v>
      </c>
      <c r="B2137" s="1" t="s">
        <v>30</v>
      </c>
      <c r="C2137">
        <v>12</v>
      </c>
    </row>
    <row r="2138" spans="1:3" x14ac:dyDescent="0.5">
      <c r="A2138">
        <v>1976</v>
      </c>
      <c r="B2138" s="1" t="s">
        <v>30</v>
      </c>
      <c r="C2138">
        <v>-18</v>
      </c>
    </row>
    <row r="2139" spans="1:3" x14ac:dyDescent="0.5">
      <c r="A2139">
        <v>1977</v>
      </c>
      <c r="B2139" s="1" t="s">
        <v>30</v>
      </c>
      <c r="C2139">
        <v>27</v>
      </c>
    </row>
    <row r="2140" spans="1:3" x14ac:dyDescent="0.5">
      <c r="A2140">
        <v>1978</v>
      </c>
      <c r="B2140" s="1" t="s">
        <v>30</v>
      </c>
      <c r="C2140">
        <v>14</v>
      </c>
    </row>
    <row r="2141" spans="1:3" x14ac:dyDescent="0.5">
      <c r="A2141">
        <v>1979</v>
      </c>
      <c r="B2141" s="1" t="s">
        <v>30</v>
      </c>
      <c r="C2141">
        <v>12</v>
      </c>
    </row>
    <row r="2142" spans="1:3" x14ac:dyDescent="0.5">
      <c r="A2142">
        <v>1980</v>
      </c>
      <c r="B2142" s="1" t="s">
        <v>30</v>
      </c>
      <c r="C2142">
        <v>32</v>
      </c>
    </row>
    <row r="2143" spans="1:3" x14ac:dyDescent="0.5">
      <c r="A2143">
        <v>1981</v>
      </c>
      <c r="B2143" s="1" t="s">
        <v>30</v>
      </c>
      <c r="C2143">
        <v>35</v>
      </c>
    </row>
    <row r="2144" spans="1:3" x14ac:dyDescent="0.5">
      <c r="A2144">
        <v>1982</v>
      </c>
      <c r="B2144" s="1" t="s">
        <v>30</v>
      </c>
      <c r="C2144">
        <v>7</v>
      </c>
    </row>
    <row r="2145" spans="1:3" x14ac:dyDescent="0.5">
      <c r="A2145">
        <v>1983</v>
      </c>
      <c r="B2145" s="1" t="s">
        <v>30</v>
      </c>
      <c r="C2145">
        <v>36</v>
      </c>
    </row>
    <row r="2146" spans="1:3" x14ac:dyDescent="0.5">
      <c r="A2146">
        <v>1984</v>
      </c>
      <c r="B2146" s="1" t="s">
        <v>30</v>
      </c>
      <c r="C2146">
        <v>24</v>
      </c>
    </row>
    <row r="2147" spans="1:3" x14ac:dyDescent="0.5">
      <c r="A2147">
        <v>1985</v>
      </c>
      <c r="B2147" s="1" t="s">
        <v>30</v>
      </c>
      <c r="C2147">
        <v>15</v>
      </c>
    </row>
    <row r="2148" spans="1:3" x14ac:dyDescent="0.5">
      <c r="A2148">
        <v>1986</v>
      </c>
      <c r="B2148" s="1" t="s">
        <v>30</v>
      </c>
      <c r="C2148">
        <v>27</v>
      </c>
    </row>
    <row r="2149" spans="1:3" x14ac:dyDescent="0.5">
      <c r="A2149">
        <v>1987</v>
      </c>
      <c r="B2149" s="1" t="s">
        <v>30</v>
      </c>
      <c r="C2149">
        <v>23</v>
      </c>
    </row>
    <row r="2150" spans="1:3" x14ac:dyDescent="0.5">
      <c r="A2150">
        <v>1988</v>
      </c>
      <c r="B2150" s="1" t="s">
        <v>30</v>
      </c>
      <c r="C2150">
        <v>46</v>
      </c>
    </row>
    <row r="2151" spans="1:3" x14ac:dyDescent="0.5">
      <c r="A2151">
        <v>1989</v>
      </c>
      <c r="B2151" s="1" t="s">
        <v>30</v>
      </c>
      <c r="C2151">
        <v>29</v>
      </c>
    </row>
    <row r="2152" spans="1:3" x14ac:dyDescent="0.5">
      <c r="A2152">
        <v>1990</v>
      </c>
      <c r="B2152" s="1" t="s">
        <v>30</v>
      </c>
      <c r="C2152">
        <v>58</v>
      </c>
    </row>
    <row r="2153" spans="1:3" x14ac:dyDescent="0.5">
      <c r="A2153">
        <v>1991</v>
      </c>
      <c r="B2153" s="1" t="s">
        <v>30</v>
      </c>
      <c r="C2153">
        <v>42</v>
      </c>
    </row>
    <row r="2154" spans="1:3" x14ac:dyDescent="0.5">
      <c r="A2154">
        <v>1992</v>
      </c>
      <c r="B2154" s="1" t="s">
        <v>30</v>
      </c>
      <c r="C2154">
        <v>34</v>
      </c>
    </row>
    <row r="2155" spans="1:3" x14ac:dyDescent="0.5">
      <c r="A2155">
        <v>1993</v>
      </c>
      <c r="B2155" s="1" t="s">
        <v>30</v>
      </c>
      <c r="C2155">
        <v>30</v>
      </c>
    </row>
    <row r="2156" spans="1:3" x14ac:dyDescent="0.5">
      <c r="A2156">
        <v>1994</v>
      </c>
      <c r="B2156" s="1" t="s">
        <v>30</v>
      </c>
      <c r="C2156">
        <v>32</v>
      </c>
    </row>
    <row r="2157" spans="1:3" x14ac:dyDescent="0.5">
      <c r="A2157">
        <v>1995</v>
      </c>
      <c r="B2157" s="1" t="s">
        <v>30</v>
      </c>
      <c r="C2157">
        <v>40</v>
      </c>
    </row>
    <row r="2158" spans="1:3" x14ac:dyDescent="0.5">
      <c r="A2158">
        <v>1996</v>
      </c>
      <c r="B2158" s="1" t="s">
        <v>30</v>
      </c>
      <c r="C2158">
        <v>33</v>
      </c>
    </row>
    <row r="2159" spans="1:3" x14ac:dyDescent="0.5">
      <c r="A2159">
        <v>1997</v>
      </c>
      <c r="B2159" s="1" t="s">
        <v>30</v>
      </c>
      <c r="C2159">
        <v>42</v>
      </c>
    </row>
    <row r="2160" spans="1:3" x14ac:dyDescent="0.5">
      <c r="A2160">
        <v>1998</v>
      </c>
      <c r="B2160" s="1" t="s">
        <v>30</v>
      </c>
      <c r="C2160">
        <v>65</v>
      </c>
    </row>
    <row r="2161" spans="1:3" x14ac:dyDescent="0.5">
      <c r="A2161">
        <v>1999</v>
      </c>
      <c r="B2161" s="1" t="s">
        <v>30</v>
      </c>
      <c r="C2161">
        <v>33</v>
      </c>
    </row>
    <row r="2162" spans="1:3" x14ac:dyDescent="0.5">
      <c r="A2162">
        <v>2000</v>
      </c>
      <c r="B2162" s="1" t="s">
        <v>30</v>
      </c>
      <c r="C2162">
        <v>53</v>
      </c>
    </row>
    <row r="2163" spans="1:3" x14ac:dyDescent="0.5">
      <c r="A2163">
        <v>2001</v>
      </c>
      <c r="B2163" s="1" t="s">
        <v>30</v>
      </c>
      <c r="C2163">
        <v>57</v>
      </c>
    </row>
    <row r="2164" spans="1:3" x14ac:dyDescent="0.5">
      <c r="A2164">
        <v>2002</v>
      </c>
      <c r="B2164" s="1" t="s">
        <v>30</v>
      </c>
      <c r="C2164">
        <v>71</v>
      </c>
    </row>
    <row r="2165" spans="1:3" x14ac:dyDescent="0.5">
      <c r="A2165">
        <v>2003</v>
      </c>
      <c r="B2165" s="1" t="s">
        <v>30</v>
      </c>
      <c r="C2165">
        <v>58</v>
      </c>
    </row>
    <row r="2166" spans="1:3" x14ac:dyDescent="0.5">
      <c r="A2166">
        <v>2004</v>
      </c>
      <c r="B2166" s="1" t="s">
        <v>30</v>
      </c>
      <c r="C2166">
        <v>57</v>
      </c>
    </row>
    <row r="2167" spans="1:3" x14ac:dyDescent="0.5">
      <c r="A2167">
        <v>2005</v>
      </c>
      <c r="B2167" s="1" t="s">
        <v>30</v>
      </c>
      <c r="C2167">
        <v>68</v>
      </c>
    </row>
    <row r="2168" spans="1:3" x14ac:dyDescent="0.5">
      <c r="A2168">
        <v>2006</v>
      </c>
      <c r="B2168" s="1" t="s">
        <v>30</v>
      </c>
      <c r="C2168">
        <v>53</v>
      </c>
    </row>
    <row r="2169" spans="1:3" x14ac:dyDescent="0.5">
      <c r="A2169">
        <v>2007</v>
      </c>
      <c r="B2169" s="1" t="s">
        <v>30</v>
      </c>
      <c r="C2169">
        <v>71</v>
      </c>
    </row>
    <row r="2170" spans="1:3" x14ac:dyDescent="0.5">
      <c r="A2170">
        <v>2008</v>
      </c>
      <c r="B2170" s="1" t="s">
        <v>30</v>
      </c>
      <c r="C2170">
        <v>60</v>
      </c>
    </row>
    <row r="2171" spans="1:3" x14ac:dyDescent="0.5">
      <c r="A2171">
        <v>2009</v>
      </c>
      <c r="B2171" s="1" t="s">
        <v>30</v>
      </c>
      <c r="C2171">
        <v>59</v>
      </c>
    </row>
    <row r="2172" spans="1:3" x14ac:dyDescent="0.5">
      <c r="A2172">
        <v>2010</v>
      </c>
      <c r="B2172" s="1" t="s">
        <v>30</v>
      </c>
      <c r="C2172">
        <v>85</v>
      </c>
    </row>
    <row r="2173" spans="1:3" x14ac:dyDescent="0.5">
      <c r="A2173">
        <v>2011</v>
      </c>
      <c r="B2173" s="1" t="s">
        <v>30</v>
      </c>
      <c r="C2173">
        <v>61</v>
      </c>
    </row>
    <row r="2174" spans="1:3" x14ac:dyDescent="0.5">
      <c r="A2174">
        <v>2012</v>
      </c>
      <c r="B2174" s="1" t="s">
        <v>30</v>
      </c>
      <c r="C2174">
        <v>67</v>
      </c>
    </row>
    <row r="2175" spans="1:3" x14ac:dyDescent="0.5">
      <c r="A2175">
        <v>2013</v>
      </c>
      <c r="B2175" s="1" t="s">
        <v>30</v>
      </c>
      <c r="C2175">
        <v>60</v>
      </c>
    </row>
    <row r="2176" spans="1:3" x14ac:dyDescent="0.5">
      <c r="A2176">
        <v>2014</v>
      </c>
      <c r="B2176" s="1" t="s">
        <v>30</v>
      </c>
      <c r="C2176">
        <v>81</v>
      </c>
    </row>
    <row r="2177" spans="1:3" x14ac:dyDescent="0.5">
      <c r="A2177">
        <v>2015</v>
      </c>
      <c r="B2177" s="1" t="s">
        <v>30</v>
      </c>
      <c r="C2177">
        <v>80</v>
      </c>
    </row>
    <row r="2178" spans="1:3" x14ac:dyDescent="0.5">
      <c r="A2178">
        <v>1880</v>
      </c>
      <c r="B2178" s="1" t="s">
        <v>31</v>
      </c>
      <c r="C2178">
        <v>-19</v>
      </c>
    </row>
    <row r="2179" spans="1:3" x14ac:dyDescent="0.5">
      <c r="A2179">
        <v>1881</v>
      </c>
      <c r="B2179" s="1" t="s">
        <v>31</v>
      </c>
      <c r="C2179">
        <v>-11</v>
      </c>
    </row>
    <row r="2180" spans="1:3" x14ac:dyDescent="0.5">
      <c r="A2180">
        <v>1882</v>
      </c>
      <c r="B2180" s="1" t="s">
        <v>31</v>
      </c>
      <c r="C2180">
        <v>-9</v>
      </c>
    </row>
    <row r="2181" spans="1:3" x14ac:dyDescent="0.5">
      <c r="A2181">
        <v>1883</v>
      </c>
      <c r="B2181" s="1" t="s">
        <v>31</v>
      </c>
      <c r="C2181">
        <v>-10</v>
      </c>
    </row>
    <row r="2182" spans="1:3" x14ac:dyDescent="0.5">
      <c r="A2182">
        <v>1884</v>
      </c>
      <c r="B2182" s="1" t="s">
        <v>31</v>
      </c>
      <c r="C2182">
        <v>-32</v>
      </c>
    </row>
    <row r="2183" spans="1:3" x14ac:dyDescent="0.5">
      <c r="A2183">
        <v>1885</v>
      </c>
      <c r="B2183" s="1" t="s">
        <v>31</v>
      </c>
      <c r="C2183">
        <v>-35</v>
      </c>
    </row>
    <row r="2184" spans="1:3" x14ac:dyDescent="0.5">
      <c r="A2184">
        <v>1886</v>
      </c>
      <c r="B2184" s="1" t="s">
        <v>31</v>
      </c>
      <c r="C2184">
        <v>-28</v>
      </c>
    </row>
    <row r="2185" spans="1:3" x14ac:dyDescent="0.5">
      <c r="A2185">
        <v>1887</v>
      </c>
      <c r="B2185" s="1" t="s">
        <v>31</v>
      </c>
      <c r="C2185">
        <v>-21</v>
      </c>
    </row>
    <row r="2186" spans="1:3" x14ac:dyDescent="0.5">
      <c r="A2186">
        <v>1888</v>
      </c>
      <c r="B2186" s="1" t="s">
        <v>31</v>
      </c>
      <c r="C2186">
        <v>-13</v>
      </c>
    </row>
    <row r="2187" spans="1:3" x14ac:dyDescent="0.5">
      <c r="A2187">
        <v>1889</v>
      </c>
      <c r="B2187" s="1" t="s">
        <v>31</v>
      </c>
      <c r="C2187">
        <v>-11</v>
      </c>
    </row>
    <row r="2188" spans="1:3" x14ac:dyDescent="0.5">
      <c r="A2188">
        <v>1890</v>
      </c>
      <c r="B2188" s="1" t="s">
        <v>31</v>
      </c>
      <c r="C2188">
        <v>-30</v>
      </c>
    </row>
    <row r="2189" spans="1:3" x14ac:dyDescent="0.5">
      <c r="A2189">
        <v>1891</v>
      </c>
      <c r="B2189" s="1" t="s">
        <v>31</v>
      </c>
      <c r="C2189">
        <v>-21</v>
      </c>
    </row>
    <row r="2190" spans="1:3" x14ac:dyDescent="0.5">
      <c r="A2190">
        <v>1892</v>
      </c>
      <c r="B2190" s="1" t="s">
        <v>31</v>
      </c>
      <c r="C2190">
        <v>-21</v>
      </c>
    </row>
    <row r="2191" spans="1:3" x14ac:dyDescent="0.5">
      <c r="A2191">
        <v>1893</v>
      </c>
      <c r="B2191" s="1" t="s">
        <v>31</v>
      </c>
      <c r="C2191">
        <v>-19</v>
      </c>
    </row>
    <row r="2192" spans="1:3" x14ac:dyDescent="0.5">
      <c r="A2192">
        <v>1894</v>
      </c>
      <c r="B2192" s="1" t="s">
        <v>31</v>
      </c>
      <c r="C2192">
        <v>-33</v>
      </c>
    </row>
    <row r="2193" spans="1:3" x14ac:dyDescent="0.5">
      <c r="A2193">
        <v>1895</v>
      </c>
      <c r="B2193" s="1" t="s">
        <v>31</v>
      </c>
      <c r="C2193">
        <v>-18</v>
      </c>
    </row>
    <row r="2194" spans="1:3" x14ac:dyDescent="0.5">
      <c r="A2194">
        <v>1896</v>
      </c>
      <c r="B2194" s="1" t="s">
        <v>31</v>
      </c>
      <c r="C2194">
        <v>-9</v>
      </c>
    </row>
    <row r="2195" spans="1:3" x14ac:dyDescent="0.5">
      <c r="A2195">
        <v>1897</v>
      </c>
      <c r="B2195" s="1" t="s">
        <v>31</v>
      </c>
      <c r="C2195">
        <v>-7</v>
      </c>
    </row>
    <row r="2196" spans="1:3" x14ac:dyDescent="0.5">
      <c r="A2196">
        <v>1898</v>
      </c>
      <c r="B2196" s="1" t="s">
        <v>31</v>
      </c>
      <c r="C2196">
        <v>-22</v>
      </c>
    </row>
    <row r="2197" spans="1:3" x14ac:dyDescent="0.5">
      <c r="A2197">
        <v>1899</v>
      </c>
      <c r="B2197" s="1" t="s">
        <v>31</v>
      </c>
      <c r="C2197">
        <v>-14</v>
      </c>
    </row>
    <row r="2198" spans="1:3" x14ac:dyDescent="0.5">
      <c r="A2198">
        <v>1900</v>
      </c>
      <c r="B2198" s="1" t="s">
        <v>31</v>
      </c>
      <c r="C2198">
        <v>-7</v>
      </c>
    </row>
    <row r="2199" spans="1:3" x14ac:dyDescent="0.5">
      <c r="A2199">
        <v>1901</v>
      </c>
      <c r="B2199" s="1" t="s">
        <v>31</v>
      </c>
      <c r="C2199">
        <v>-9</v>
      </c>
    </row>
    <row r="2200" spans="1:3" x14ac:dyDescent="0.5">
      <c r="A2200">
        <v>1902</v>
      </c>
      <c r="B2200" s="1" t="s">
        <v>31</v>
      </c>
      <c r="C2200">
        <v>-28</v>
      </c>
    </row>
    <row r="2201" spans="1:3" x14ac:dyDescent="0.5">
      <c r="A2201">
        <v>1903</v>
      </c>
      <c r="B2201" s="1" t="s">
        <v>31</v>
      </c>
      <c r="C2201">
        <v>-38</v>
      </c>
    </row>
    <row r="2202" spans="1:3" x14ac:dyDescent="0.5">
      <c r="A2202">
        <v>1904</v>
      </c>
      <c r="B2202" s="1" t="s">
        <v>31</v>
      </c>
      <c r="C2202">
        <v>-46</v>
      </c>
    </row>
    <row r="2203" spans="1:3" x14ac:dyDescent="0.5">
      <c r="A2203">
        <v>1905</v>
      </c>
      <c r="B2203" s="1" t="s">
        <v>31</v>
      </c>
      <c r="C2203">
        <v>-24</v>
      </c>
    </row>
    <row r="2204" spans="1:3" x14ac:dyDescent="0.5">
      <c r="A2204">
        <v>1906</v>
      </c>
      <c r="B2204" s="1" t="s">
        <v>31</v>
      </c>
      <c r="C2204">
        <v>-21</v>
      </c>
    </row>
    <row r="2205" spans="1:3" x14ac:dyDescent="0.5">
      <c r="A2205">
        <v>1907</v>
      </c>
      <c r="B2205" s="1" t="s">
        <v>31</v>
      </c>
      <c r="C2205">
        <v>-37</v>
      </c>
    </row>
    <row r="2206" spans="1:3" x14ac:dyDescent="0.5">
      <c r="A2206">
        <v>1908</v>
      </c>
      <c r="B2206" s="1" t="s">
        <v>31</v>
      </c>
      <c r="C2206">
        <v>-38</v>
      </c>
    </row>
    <row r="2207" spans="1:3" x14ac:dyDescent="0.5">
      <c r="A2207">
        <v>1909</v>
      </c>
      <c r="B2207" s="1" t="s">
        <v>31</v>
      </c>
      <c r="C2207">
        <v>-41</v>
      </c>
    </row>
    <row r="2208" spans="1:3" x14ac:dyDescent="0.5">
      <c r="A2208">
        <v>1910</v>
      </c>
      <c r="B2208" s="1" t="s">
        <v>31</v>
      </c>
      <c r="C2208">
        <v>-33</v>
      </c>
    </row>
    <row r="2209" spans="1:3" x14ac:dyDescent="0.5">
      <c r="A2209">
        <v>1911</v>
      </c>
      <c r="B2209" s="1" t="s">
        <v>31</v>
      </c>
      <c r="C2209">
        <v>-43</v>
      </c>
    </row>
    <row r="2210" spans="1:3" x14ac:dyDescent="0.5">
      <c r="A2210">
        <v>1912</v>
      </c>
      <c r="B2210" s="1" t="s">
        <v>31</v>
      </c>
      <c r="C2210">
        <v>-39</v>
      </c>
    </row>
    <row r="2211" spans="1:3" x14ac:dyDescent="0.5">
      <c r="A2211">
        <v>1913</v>
      </c>
      <c r="B2211" s="1" t="s">
        <v>31</v>
      </c>
      <c r="C2211">
        <v>-36</v>
      </c>
    </row>
    <row r="2212" spans="1:3" x14ac:dyDescent="0.5">
      <c r="A2212">
        <v>1914</v>
      </c>
      <c r="B2212" s="1" t="s">
        <v>31</v>
      </c>
      <c r="C2212">
        <v>-19</v>
      </c>
    </row>
    <row r="2213" spans="1:3" x14ac:dyDescent="0.5">
      <c r="A2213">
        <v>1915</v>
      </c>
      <c r="B2213" s="1" t="s">
        <v>31</v>
      </c>
      <c r="C2213">
        <v>-10</v>
      </c>
    </row>
    <row r="2214" spans="1:3" x14ac:dyDescent="0.5">
      <c r="A2214">
        <v>1916</v>
      </c>
      <c r="B2214" s="1" t="s">
        <v>31</v>
      </c>
      <c r="C2214">
        <v>-33</v>
      </c>
    </row>
    <row r="2215" spans="1:3" x14ac:dyDescent="0.5">
      <c r="A2215">
        <v>1917</v>
      </c>
      <c r="B2215" s="1" t="s">
        <v>31</v>
      </c>
      <c r="C2215">
        <v>-28</v>
      </c>
    </row>
    <row r="2216" spans="1:3" x14ac:dyDescent="0.5">
      <c r="A2216">
        <v>1918</v>
      </c>
      <c r="B2216" s="1" t="s">
        <v>31</v>
      </c>
      <c r="C2216">
        <v>-23</v>
      </c>
    </row>
    <row r="2217" spans="1:3" x14ac:dyDescent="0.5">
      <c r="A2217">
        <v>1919</v>
      </c>
      <c r="B2217" s="1" t="s">
        <v>31</v>
      </c>
      <c r="C2217">
        <v>-21</v>
      </c>
    </row>
    <row r="2218" spans="1:3" x14ac:dyDescent="0.5">
      <c r="A2218">
        <v>1920</v>
      </c>
      <c r="B2218" s="1" t="s">
        <v>31</v>
      </c>
      <c r="C2218">
        <v>-29</v>
      </c>
    </row>
    <row r="2219" spans="1:3" x14ac:dyDescent="0.5">
      <c r="A2219">
        <v>1921</v>
      </c>
      <c r="B2219" s="1" t="s">
        <v>31</v>
      </c>
      <c r="C2219">
        <v>-21</v>
      </c>
    </row>
    <row r="2220" spans="1:3" x14ac:dyDescent="0.5">
      <c r="A2220">
        <v>1922</v>
      </c>
      <c r="B2220" s="1" t="s">
        <v>31</v>
      </c>
      <c r="C2220">
        <v>-28</v>
      </c>
    </row>
    <row r="2221" spans="1:3" x14ac:dyDescent="0.5">
      <c r="A2221">
        <v>1923</v>
      </c>
      <c r="B2221" s="1" t="s">
        <v>31</v>
      </c>
      <c r="C2221">
        <v>-26</v>
      </c>
    </row>
    <row r="2222" spans="1:3" x14ac:dyDescent="0.5">
      <c r="A2222">
        <v>1924</v>
      </c>
      <c r="B2222" s="1" t="s">
        <v>31</v>
      </c>
      <c r="C2222">
        <v>-28</v>
      </c>
    </row>
    <row r="2223" spans="1:3" x14ac:dyDescent="0.5">
      <c r="A2223">
        <v>1925</v>
      </c>
      <c r="B2223" s="1" t="s">
        <v>31</v>
      </c>
      <c r="C2223">
        <v>-25</v>
      </c>
    </row>
    <row r="2224" spans="1:3" x14ac:dyDescent="0.5">
      <c r="A2224">
        <v>1926</v>
      </c>
      <c r="B2224" s="1" t="s">
        <v>31</v>
      </c>
      <c r="C2224">
        <v>-17</v>
      </c>
    </row>
    <row r="2225" spans="1:3" x14ac:dyDescent="0.5">
      <c r="A2225">
        <v>1927</v>
      </c>
      <c r="B2225" s="1" t="s">
        <v>31</v>
      </c>
      <c r="C2225">
        <v>-19</v>
      </c>
    </row>
    <row r="2226" spans="1:3" x14ac:dyDescent="0.5">
      <c r="A2226">
        <v>1928</v>
      </c>
      <c r="B2226" s="1" t="s">
        <v>31</v>
      </c>
      <c r="C2226">
        <v>-27</v>
      </c>
    </row>
    <row r="2227" spans="1:3" x14ac:dyDescent="0.5">
      <c r="A2227">
        <v>1929</v>
      </c>
      <c r="B2227" s="1" t="s">
        <v>31</v>
      </c>
      <c r="C2227">
        <v>-34</v>
      </c>
    </row>
    <row r="2228" spans="1:3" x14ac:dyDescent="0.5">
      <c r="A2228">
        <v>1930</v>
      </c>
      <c r="B2228" s="1" t="s">
        <v>31</v>
      </c>
      <c r="C2228">
        <v>-14</v>
      </c>
    </row>
    <row r="2229" spans="1:3" x14ac:dyDescent="0.5">
      <c r="A2229">
        <v>1931</v>
      </c>
      <c r="B2229" s="1" t="s">
        <v>31</v>
      </c>
      <c r="C2229">
        <v>-1</v>
      </c>
    </row>
    <row r="2230" spans="1:3" x14ac:dyDescent="0.5">
      <c r="A2230">
        <v>1932</v>
      </c>
      <c r="B2230" s="1" t="s">
        <v>31</v>
      </c>
      <c r="C2230">
        <v>-25</v>
      </c>
    </row>
    <row r="2231" spans="1:3" x14ac:dyDescent="0.5">
      <c r="A2231">
        <v>1933</v>
      </c>
      <c r="B2231" s="1" t="s">
        <v>31</v>
      </c>
      <c r="C2231">
        <v>-24</v>
      </c>
    </row>
    <row r="2232" spans="1:3" x14ac:dyDescent="0.5">
      <c r="A2232">
        <v>1934</v>
      </c>
      <c r="B2232" s="1" t="s">
        <v>31</v>
      </c>
      <c r="C2232">
        <v>-11</v>
      </c>
    </row>
    <row r="2233" spans="1:3" x14ac:dyDescent="0.5">
      <c r="A2233">
        <v>1935</v>
      </c>
      <c r="B2233" s="1" t="s">
        <v>31</v>
      </c>
      <c r="C2233">
        <v>-19</v>
      </c>
    </row>
    <row r="2234" spans="1:3" x14ac:dyDescent="0.5">
      <c r="A2234">
        <v>1936</v>
      </c>
      <c r="B2234" s="1" t="s">
        <v>31</v>
      </c>
      <c r="C2234">
        <v>-11</v>
      </c>
    </row>
    <row r="2235" spans="1:3" x14ac:dyDescent="0.5">
      <c r="A2235">
        <v>1937</v>
      </c>
      <c r="B2235" s="1" t="s">
        <v>31</v>
      </c>
      <c r="C2235">
        <v>-2</v>
      </c>
    </row>
    <row r="2236" spans="1:3" x14ac:dyDescent="0.5">
      <c r="A2236">
        <v>1938</v>
      </c>
      <c r="B2236" s="1" t="s">
        <v>31</v>
      </c>
      <c r="C2236">
        <v>-9</v>
      </c>
    </row>
    <row r="2237" spans="1:3" x14ac:dyDescent="0.5">
      <c r="A2237">
        <v>1939</v>
      </c>
      <c r="B2237" s="1" t="s">
        <v>31</v>
      </c>
      <c r="C2237">
        <v>-5</v>
      </c>
    </row>
    <row r="2238" spans="1:3" x14ac:dyDescent="0.5">
      <c r="A2238">
        <v>1940</v>
      </c>
      <c r="B2238" s="1" t="s">
        <v>31</v>
      </c>
      <c r="C2238">
        <v>6</v>
      </c>
    </row>
    <row r="2239" spans="1:3" x14ac:dyDescent="0.5">
      <c r="A2239">
        <v>1941</v>
      </c>
      <c r="B2239" s="1" t="s">
        <v>31</v>
      </c>
      <c r="C2239">
        <v>12</v>
      </c>
    </row>
    <row r="2240" spans="1:3" x14ac:dyDescent="0.5">
      <c r="A2240">
        <v>1942</v>
      </c>
      <c r="B2240" s="1" t="s">
        <v>31</v>
      </c>
      <c r="C2240">
        <v>4</v>
      </c>
    </row>
    <row r="2241" spans="1:3" x14ac:dyDescent="0.5">
      <c r="A2241">
        <v>1943</v>
      </c>
      <c r="B2241" s="1" t="s">
        <v>31</v>
      </c>
      <c r="C2241">
        <v>7</v>
      </c>
    </row>
    <row r="2242" spans="1:3" x14ac:dyDescent="0.5">
      <c r="A2242">
        <v>1944</v>
      </c>
      <c r="B2242" s="1" t="s">
        <v>31</v>
      </c>
      <c r="C2242">
        <v>22</v>
      </c>
    </row>
    <row r="2243" spans="1:3" x14ac:dyDescent="0.5">
      <c r="A2243">
        <v>1945</v>
      </c>
      <c r="B2243" s="1" t="s">
        <v>31</v>
      </c>
      <c r="C2243">
        <v>13</v>
      </c>
    </row>
    <row r="2244" spans="1:3" x14ac:dyDescent="0.5">
      <c r="A2244">
        <v>1946</v>
      </c>
      <c r="B2244" s="1" t="s">
        <v>31</v>
      </c>
      <c r="C2244">
        <v>-10</v>
      </c>
    </row>
    <row r="2245" spans="1:3" x14ac:dyDescent="0.5">
      <c r="A2245">
        <v>1947</v>
      </c>
      <c r="B2245" s="1" t="s">
        <v>31</v>
      </c>
      <c r="C2245">
        <v>-4</v>
      </c>
    </row>
    <row r="2246" spans="1:3" x14ac:dyDescent="0.5">
      <c r="A2246">
        <v>1948</v>
      </c>
      <c r="B2246" s="1" t="s">
        <v>31</v>
      </c>
      <c r="C2246">
        <v>-9</v>
      </c>
    </row>
    <row r="2247" spans="1:3" x14ac:dyDescent="0.5">
      <c r="A2247">
        <v>1949</v>
      </c>
      <c r="B2247" s="1" t="s">
        <v>31</v>
      </c>
      <c r="C2247">
        <v>-16</v>
      </c>
    </row>
    <row r="2248" spans="1:3" x14ac:dyDescent="0.5">
      <c r="A2248">
        <v>1950</v>
      </c>
      <c r="B2248" s="1" t="s">
        <v>31</v>
      </c>
      <c r="C2248">
        <v>-12</v>
      </c>
    </row>
    <row r="2249" spans="1:3" x14ac:dyDescent="0.5">
      <c r="A2249">
        <v>1951</v>
      </c>
      <c r="B2249" s="1" t="s">
        <v>31</v>
      </c>
      <c r="C2249">
        <v>-1</v>
      </c>
    </row>
    <row r="2250" spans="1:3" x14ac:dyDescent="0.5">
      <c r="A2250">
        <v>1952</v>
      </c>
      <c r="B2250" s="1" t="s">
        <v>31</v>
      </c>
      <c r="C2250">
        <v>3</v>
      </c>
    </row>
    <row r="2251" spans="1:3" x14ac:dyDescent="0.5">
      <c r="A2251">
        <v>1953</v>
      </c>
      <c r="B2251" s="1" t="s">
        <v>31</v>
      </c>
      <c r="C2251">
        <v>6</v>
      </c>
    </row>
    <row r="2252" spans="1:3" x14ac:dyDescent="0.5">
      <c r="A2252">
        <v>1954</v>
      </c>
      <c r="B2252" s="1" t="s">
        <v>31</v>
      </c>
      <c r="C2252">
        <v>-14</v>
      </c>
    </row>
    <row r="2253" spans="1:3" x14ac:dyDescent="0.5">
      <c r="A2253">
        <v>1955</v>
      </c>
      <c r="B2253" s="1" t="s">
        <v>31</v>
      </c>
      <c r="C2253">
        <v>-2</v>
      </c>
    </row>
    <row r="2254" spans="1:3" x14ac:dyDescent="0.5">
      <c r="A2254">
        <v>1956</v>
      </c>
      <c r="B2254" s="1" t="s">
        <v>31</v>
      </c>
      <c r="C2254">
        <v>-17</v>
      </c>
    </row>
    <row r="2255" spans="1:3" x14ac:dyDescent="0.5">
      <c r="A2255">
        <v>1957</v>
      </c>
      <c r="B2255" s="1" t="s">
        <v>31</v>
      </c>
      <c r="C2255">
        <v>9</v>
      </c>
    </row>
    <row r="2256" spans="1:3" x14ac:dyDescent="0.5">
      <c r="A2256">
        <v>1958</v>
      </c>
      <c r="B2256" s="1" t="s">
        <v>31</v>
      </c>
      <c r="C2256">
        <v>-3</v>
      </c>
    </row>
    <row r="2257" spans="1:3" x14ac:dyDescent="0.5">
      <c r="A2257">
        <v>1959</v>
      </c>
      <c r="B2257" s="1" t="s">
        <v>31</v>
      </c>
      <c r="C2257">
        <v>2</v>
      </c>
    </row>
    <row r="2258" spans="1:3" x14ac:dyDescent="0.5">
      <c r="A2258">
        <v>1960</v>
      </c>
      <c r="B2258" s="1" t="s">
        <v>31</v>
      </c>
      <c r="C2258">
        <v>-1</v>
      </c>
    </row>
    <row r="2259" spans="1:3" x14ac:dyDescent="0.5">
      <c r="A2259">
        <v>1961</v>
      </c>
      <c r="B2259" s="1" t="s">
        <v>31</v>
      </c>
      <c r="C2259">
        <v>2</v>
      </c>
    </row>
    <row r="2260" spans="1:3" x14ac:dyDescent="0.5">
      <c r="A2260">
        <v>1962</v>
      </c>
      <c r="B2260" s="1" t="s">
        <v>31</v>
      </c>
      <c r="C2260">
        <v>0</v>
      </c>
    </row>
    <row r="2261" spans="1:3" x14ac:dyDescent="0.5">
      <c r="A2261">
        <v>1963</v>
      </c>
      <c r="B2261" s="1" t="s">
        <v>31</v>
      </c>
      <c r="C2261">
        <v>11</v>
      </c>
    </row>
    <row r="2262" spans="1:3" x14ac:dyDescent="0.5">
      <c r="A2262">
        <v>1964</v>
      </c>
      <c r="B2262" s="1" t="s">
        <v>31</v>
      </c>
      <c r="C2262">
        <v>-13</v>
      </c>
    </row>
    <row r="2263" spans="1:3" x14ac:dyDescent="0.5">
      <c r="A2263">
        <v>1965</v>
      </c>
      <c r="B2263" s="1" t="s">
        <v>31</v>
      </c>
      <c r="C2263">
        <v>-7</v>
      </c>
    </row>
    <row r="2264" spans="1:3" x14ac:dyDescent="0.5">
      <c r="A2264">
        <v>1966</v>
      </c>
      <c r="B2264" s="1" t="s">
        <v>31</v>
      </c>
      <c r="C2264">
        <v>0</v>
      </c>
    </row>
    <row r="2265" spans="1:3" x14ac:dyDescent="0.5">
      <c r="A2265">
        <v>1967</v>
      </c>
      <c r="B2265" s="1" t="s">
        <v>31</v>
      </c>
      <c r="C2265">
        <v>-2</v>
      </c>
    </row>
    <row r="2266" spans="1:3" x14ac:dyDescent="0.5">
      <c r="A2266">
        <v>1968</v>
      </c>
      <c r="B2266" s="1" t="s">
        <v>31</v>
      </c>
      <c r="C2266">
        <v>-9</v>
      </c>
    </row>
    <row r="2267" spans="1:3" x14ac:dyDescent="0.5">
      <c r="A2267">
        <v>1969</v>
      </c>
      <c r="B2267" s="1" t="s">
        <v>31</v>
      </c>
      <c r="C2267">
        <v>2</v>
      </c>
    </row>
    <row r="2268" spans="1:3" x14ac:dyDescent="0.5">
      <c r="A2268">
        <v>1970</v>
      </c>
      <c r="B2268" s="1" t="s">
        <v>31</v>
      </c>
      <c r="C2268">
        <v>-5</v>
      </c>
    </row>
    <row r="2269" spans="1:3" x14ac:dyDescent="0.5">
      <c r="A2269">
        <v>1971</v>
      </c>
      <c r="B2269" s="1" t="s">
        <v>31</v>
      </c>
      <c r="C2269">
        <v>-11</v>
      </c>
    </row>
    <row r="2270" spans="1:3" x14ac:dyDescent="0.5">
      <c r="A2270">
        <v>1972</v>
      </c>
      <c r="B2270" s="1" t="s">
        <v>31</v>
      </c>
      <c r="C2270">
        <v>8</v>
      </c>
    </row>
    <row r="2271" spans="1:3" x14ac:dyDescent="0.5">
      <c r="A2271">
        <v>1973</v>
      </c>
      <c r="B2271" s="1" t="s">
        <v>31</v>
      </c>
      <c r="C2271">
        <v>9</v>
      </c>
    </row>
    <row r="2272" spans="1:3" x14ac:dyDescent="0.5">
      <c r="A2272">
        <v>1974</v>
      </c>
      <c r="B2272" s="1" t="s">
        <v>31</v>
      </c>
      <c r="C2272">
        <v>1</v>
      </c>
    </row>
    <row r="2273" spans="1:3" x14ac:dyDescent="0.5">
      <c r="A2273">
        <v>1975</v>
      </c>
      <c r="B2273" s="1" t="s">
        <v>31</v>
      </c>
      <c r="C2273">
        <v>-8</v>
      </c>
    </row>
    <row r="2274" spans="1:3" x14ac:dyDescent="0.5">
      <c r="A2274">
        <v>1976</v>
      </c>
      <c r="B2274" s="1" t="s">
        <v>31</v>
      </c>
      <c r="C2274">
        <v>-14</v>
      </c>
    </row>
    <row r="2275" spans="1:3" x14ac:dyDescent="0.5">
      <c r="A2275">
        <v>1977</v>
      </c>
      <c r="B2275" s="1" t="s">
        <v>31</v>
      </c>
      <c r="C2275">
        <v>23</v>
      </c>
    </row>
    <row r="2276" spans="1:3" x14ac:dyDescent="0.5">
      <c r="A2276">
        <v>1978</v>
      </c>
      <c r="B2276" s="1" t="s">
        <v>31</v>
      </c>
      <c r="C2276">
        <v>-5</v>
      </c>
    </row>
    <row r="2277" spans="1:3" x14ac:dyDescent="0.5">
      <c r="A2277">
        <v>1979</v>
      </c>
      <c r="B2277" s="1" t="s">
        <v>31</v>
      </c>
      <c r="C2277">
        <v>10</v>
      </c>
    </row>
    <row r="2278" spans="1:3" x14ac:dyDescent="0.5">
      <c r="A2278">
        <v>1980</v>
      </c>
      <c r="B2278" s="1" t="s">
        <v>31</v>
      </c>
      <c r="C2278">
        <v>24</v>
      </c>
    </row>
    <row r="2279" spans="1:3" x14ac:dyDescent="0.5">
      <c r="A2279">
        <v>1981</v>
      </c>
      <c r="B2279" s="1" t="s">
        <v>31</v>
      </c>
      <c r="C2279">
        <v>33</v>
      </c>
    </row>
    <row r="2280" spans="1:3" x14ac:dyDescent="0.5">
      <c r="A2280">
        <v>1982</v>
      </c>
      <c r="B2280" s="1" t="s">
        <v>31</v>
      </c>
      <c r="C2280">
        <v>9</v>
      </c>
    </row>
    <row r="2281" spans="1:3" x14ac:dyDescent="0.5">
      <c r="A2281">
        <v>1983</v>
      </c>
      <c r="B2281" s="1" t="s">
        <v>31</v>
      </c>
      <c r="C2281">
        <v>22</v>
      </c>
    </row>
    <row r="2282" spans="1:3" x14ac:dyDescent="0.5">
      <c r="A2282">
        <v>1984</v>
      </c>
      <c r="B2282" s="1" t="s">
        <v>31</v>
      </c>
      <c r="C2282">
        <v>12</v>
      </c>
    </row>
    <row r="2283" spans="1:3" x14ac:dyDescent="0.5">
      <c r="A2283">
        <v>1985</v>
      </c>
      <c r="B2283" s="1" t="s">
        <v>31</v>
      </c>
      <c r="C2283">
        <v>11</v>
      </c>
    </row>
    <row r="2284" spans="1:3" x14ac:dyDescent="0.5">
      <c r="A2284">
        <v>1986</v>
      </c>
      <c r="B2284" s="1" t="s">
        <v>31</v>
      </c>
      <c r="C2284">
        <v>13</v>
      </c>
    </row>
    <row r="2285" spans="1:3" x14ac:dyDescent="0.5">
      <c r="A2285">
        <v>1987</v>
      </c>
      <c r="B2285" s="1" t="s">
        <v>31</v>
      </c>
      <c r="C2285">
        <v>37</v>
      </c>
    </row>
    <row r="2286" spans="1:3" x14ac:dyDescent="0.5">
      <c r="A2286">
        <v>1988</v>
      </c>
      <c r="B2286" s="1" t="s">
        <v>31</v>
      </c>
      <c r="C2286">
        <v>40</v>
      </c>
    </row>
    <row r="2287" spans="1:3" x14ac:dyDescent="0.5">
      <c r="A2287">
        <v>1989</v>
      </c>
      <c r="B2287" s="1" t="s">
        <v>31</v>
      </c>
      <c r="C2287">
        <v>27</v>
      </c>
    </row>
    <row r="2288" spans="1:3" x14ac:dyDescent="0.5">
      <c r="A2288">
        <v>1990</v>
      </c>
      <c r="B2288" s="1" t="s">
        <v>31</v>
      </c>
      <c r="C2288">
        <v>37</v>
      </c>
    </row>
    <row r="2289" spans="1:3" x14ac:dyDescent="0.5">
      <c r="A2289">
        <v>1991</v>
      </c>
      <c r="B2289" s="1" t="s">
        <v>31</v>
      </c>
      <c r="C2289">
        <v>49</v>
      </c>
    </row>
    <row r="2290" spans="1:3" x14ac:dyDescent="0.5">
      <c r="A2290">
        <v>1992</v>
      </c>
      <c r="B2290" s="1" t="s">
        <v>31</v>
      </c>
      <c r="C2290">
        <v>16</v>
      </c>
    </row>
    <row r="2291" spans="1:3" x14ac:dyDescent="0.5">
      <c r="A2291">
        <v>1993</v>
      </c>
      <c r="B2291" s="1" t="s">
        <v>31</v>
      </c>
      <c r="C2291">
        <v>21</v>
      </c>
    </row>
    <row r="2292" spans="1:3" x14ac:dyDescent="0.5">
      <c r="A2292">
        <v>1994</v>
      </c>
      <c r="B2292" s="1" t="s">
        <v>31</v>
      </c>
      <c r="C2292">
        <v>32</v>
      </c>
    </row>
    <row r="2293" spans="1:3" x14ac:dyDescent="0.5">
      <c r="A2293">
        <v>1995</v>
      </c>
      <c r="B2293" s="1" t="s">
        <v>31</v>
      </c>
      <c r="C2293">
        <v>47</v>
      </c>
    </row>
    <row r="2294" spans="1:3" x14ac:dyDescent="0.5">
      <c r="A2294">
        <v>1996</v>
      </c>
      <c r="B2294" s="1" t="s">
        <v>31</v>
      </c>
      <c r="C2294">
        <v>37</v>
      </c>
    </row>
    <row r="2295" spans="1:3" x14ac:dyDescent="0.5">
      <c r="A2295">
        <v>1997</v>
      </c>
      <c r="B2295" s="1" t="s">
        <v>31</v>
      </c>
      <c r="C2295">
        <v>44</v>
      </c>
    </row>
    <row r="2296" spans="1:3" x14ac:dyDescent="0.5">
      <c r="A2296">
        <v>1998</v>
      </c>
      <c r="B2296" s="1" t="s">
        <v>31</v>
      </c>
      <c r="C2296">
        <v>72</v>
      </c>
    </row>
    <row r="2297" spans="1:3" x14ac:dyDescent="0.5">
      <c r="A2297">
        <v>1999</v>
      </c>
      <c r="B2297" s="1" t="s">
        <v>31</v>
      </c>
      <c r="C2297">
        <v>38</v>
      </c>
    </row>
    <row r="2298" spans="1:3" x14ac:dyDescent="0.5">
      <c r="A2298">
        <v>2000</v>
      </c>
      <c r="B2298" s="1" t="s">
        <v>31</v>
      </c>
      <c r="C2298">
        <v>43</v>
      </c>
    </row>
    <row r="2299" spans="1:3" x14ac:dyDescent="0.5">
      <c r="A2299">
        <v>2001</v>
      </c>
      <c r="B2299" s="1" t="s">
        <v>31</v>
      </c>
      <c r="C2299">
        <v>55</v>
      </c>
    </row>
    <row r="2300" spans="1:3" x14ac:dyDescent="0.5">
      <c r="A2300">
        <v>2002</v>
      </c>
      <c r="B2300" s="1" t="s">
        <v>31</v>
      </c>
      <c r="C2300">
        <v>57</v>
      </c>
    </row>
    <row r="2301" spans="1:3" x14ac:dyDescent="0.5">
      <c r="A2301">
        <v>2003</v>
      </c>
      <c r="B2301" s="1" t="s">
        <v>31</v>
      </c>
      <c r="C2301">
        <v>57</v>
      </c>
    </row>
    <row r="2302" spans="1:3" x14ac:dyDescent="0.5">
      <c r="A2302">
        <v>2004</v>
      </c>
      <c r="B2302" s="1" t="s">
        <v>31</v>
      </c>
      <c r="C2302">
        <v>38</v>
      </c>
    </row>
    <row r="2303" spans="1:3" x14ac:dyDescent="0.5">
      <c r="A2303">
        <v>2005</v>
      </c>
      <c r="B2303" s="1" t="s">
        <v>31</v>
      </c>
      <c r="C2303">
        <v>65</v>
      </c>
    </row>
    <row r="2304" spans="1:3" x14ac:dyDescent="0.5">
      <c r="A2304">
        <v>2006</v>
      </c>
      <c r="B2304" s="1" t="s">
        <v>31</v>
      </c>
      <c r="C2304">
        <v>63</v>
      </c>
    </row>
    <row r="2305" spans="1:3" x14ac:dyDescent="0.5">
      <c r="A2305">
        <v>2007</v>
      </c>
      <c r="B2305" s="1" t="s">
        <v>31</v>
      </c>
      <c r="C2305">
        <v>61</v>
      </c>
    </row>
    <row r="2306" spans="1:3" x14ac:dyDescent="0.5">
      <c r="A2306">
        <v>2008</v>
      </c>
      <c r="B2306" s="1" t="s">
        <v>31</v>
      </c>
      <c r="C2306">
        <v>51</v>
      </c>
    </row>
    <row r="2307" spans="1:3" x14ac:dyDescent="0.5">
      <c r="A2307">
        <v>2009</v>
      </c>
      <c r="B2307" s="1" t="s">
        <v>31</v>
      </c>
      <c r="C2307">
        <v>69</v>
      </c>
    </row>
    <row r="2308" spans="1:3" x14ac:dyDescent="0.5">
      <c r="A2308">
        <v>2010</v>
      </c>
      <c r="B2308" s="1" t="s">
        <v>31</v>
      </c>
      <c r="C2308">
        <v>63</v>
      </c>
    </row>
    <row r="2309" spans="1:3" x14ac:dyDescent="0.5">
      <c r="A2309">
        <v>2011</v>
      </c>
      <c r="B2309" s="1" t="s">
        <v>31</v>
      </c>
      <c r="C2309">
        <v>69</v>
      </c>
    </row>
    <row r="2310" spans="1:3" x14ac:dyDescent="0.5">
      <c r="A2310">
        <v>2012</v>
      </c>
      <c r="B2310" s="1" t="s">
        <v>31</v>
      </c>
      <c r="C2310">
        <v>61</v>
      </c>
    </row>
    <row r="2311" spans="1:3" x14ac:dyDescent="0.5">
      <c r="A2311">
        <v>2013</v>
      </c>
      <c r="B2311" s="1" t="s">
        <v>31</v>
      </c>
      <c r="C2311">
        <v>63</v>
      </c>
    </row>
    <row r="2312" spans="1:3" x14ac:dyDescent="0.5">
      <c r="A2312">
        <v>2014</v>
      </c>
      <c r="B2312" s="1" t="s">
        <v>31</v>
      </c>
      <c r="C2312">
        <v>69</v>
      </c>
    </row>
    <row r="2313" spans="1:3" x14ac:dyDescent="0.5">
      <c r="A2313">
        <v>2015</v>
      </c>
      <c r="B2313" s="1" t="s">
        <v>31</v>
      </c>
    </row>
    <row r="2314" spans="1:3" x14ac:dyDescent="0.5">
      <c r="A2314">
        <v>1880</v>
      </c>
      <c r="B2314" s="1" t="s">
        <v>32</v>
      </c>
      <c r="C2314">
        <v>-16</v>
      </c>
    </row>
    <row r="2315" spans="1:3" x14ac:dyDescent="0.5">
      <c r="A2315">
        <v>1881</v>
      </c>
      <c r="B2315" s="1" t="s">
        <v>32</v>
      </c>
      <c r="C2315">
        <v>-17</v>
      </c>
    </row>
    <row r="2316" spans="1:3" x14ac:dyDescent="0.5">
      <c r="A2316">
        <v>1882</v>
      </c>
      <c r="B2316" s="1" t="s">
        <v>32</v>
      </c>
      <c r="C2316">
        <v>-14</v>
      </c>
    </row>
    <row r="2317" spans="1:3" x14ac:dyDescent="0.5">
      <c r="A2317">
        <v>1883</v>
      </c>
      <c r="B2317" s="1" t="s">
        <v>32</v>
      </c>
      <c r="C2317">
        <v>-16</v>
      </c>
    </row>
    <row r="2318" spans="1:3" x14ac:dyDescent="0.5">
      <c r="A2318">
        <v>1884</v>
      </c>
      <c r="B2318" s="1" t="s">
        <v>32</v>
      </c>
      <c r="C2318">
        <v>-25</v>
      </c>
    </row>
    <row r="2319" spans="1:3" x14ac:dyDescent="0.5">
      <c r="A2319">
        <v>1885</v>
      </c>
      <c r="B2319" s="1" t="s">
        <v>32</v>
      </c>
      <c r="C2319">
        <v>-20</v>
      </c>
    </row>
    <row r="2320" spans="1:3" x14ac:dyDescent="0.5">
      <c r="A2320">
        <v>1886</v>
      </c>
      <c r="B2320" s="1" t="s">
        <v>32</v>
      </c>
      <c r="C2320">
        <v>-23</v>
      </c>
    </row>
    <row r="2321" spans="1:3" x14ac:dyDescent="0.5">
      <c r="A2321">
        <v>1887</v>
      </c>
      <c r="B2321" s="1" t="s">
        <v>32</v>
      </c>
      <c r="C2321">
        <v>-26</v>
      </c>
    </row>
    <row r="2322" spans="1:3" x14ac:dyDescent="0.5">
      <c r="A2322">
        <v>1888</v>
      </c>
      <c r="B2322" s="1" t="s">
        <v>32</v>
      </c>
      <c r="C2322">
        <v>-2</v>
      </c>
    </row>
    <row r="2323" spans="1:3" x14ac:dyDescent="0.5">
      <c r="A2323">
        <v>1889</v>
      </c>
      <c r="B2323" s="1" t="s">
        <v>32</v>
      </c>
      <c r="C2323">
        <v>-23</v>
      </c>
    </row>
    <row r="2324" spans="1:3" x14ac:dyDescent="0.5">
      <c r="A2324">
        <v>1890</v>
      </c>
      <c r="B2324" s="1" t="s">
        <v>32</v>
      </c>
      <c r="C2324">
        <v>-32</v>
      </c>
    </row>
    <row r="2325" spans="1:3" x14ac:dyDescent="0.5">
      <c r="A2325">
        <v>1891</v>
      </c>
      <c r="B2325" s="1" t="s">
        <v>32</v>
      </c>
      <c r="C2325">
        <v>-24</v>
      </c>
    </row>
    <row r="2326" spans="1:3" x14ac:dyDescent="0.5">
      <c r="A2326">
        <v>1892</v>
      </c>
      <c r="B2326" s="1" t="s">
        <v>32</v>
      </c>
      <c r="C2326">
        <v>-29</v>
      </c>
    </row>
    <row r="2327" spans="1:3" x14ac:dyDescent="0.5">
      <c r="A2327">
        <v>1893</v>
      </c>
      <c r="B2327" s="1" t="s">
        <v>32</v>
      </c>
      <c r="C2327">
        <v>-16</v>
      </c>
    </row>
    <row r="2328" spans="1:3" x14ac:dyDescent="0.5">
      <c r="A2328">
        <v>1894</v>
      </c>
      <c r="B2328" s="1" t="s">
        <v>32</v>
      </c>
      <c r="C2328">
        <v>-21</v>
      </c>
    </row>
    <row r="2329" spans="1:3" x14ac:dyDescent="0.5">
      <c r="A2329">
        <v>1895</v>
      </c>
      <c r="B2329" s="1" t="s">
        <v>32</v>
      </c>
      <c r="C2329">
        <v>-9</v>
      </c>
    </row>
    <row r="2330" spans="1:3" x14ac:dyDescent="0.5">
      <c r="A2330">
        <v>1896</v>
      </c>
      <c r="B2330" s="1" t="s">
        <v>32</v>
      </c>
      <c r="C2330">
        <v>-4</v>
      </c>
    </row>
    <row r="2331" spans="1:3" x14ac:dyDescent="0.5">
      <c r="A2331">
        <v>1897</v>
      </c>
      <c r="B2331" s="1" t="s">
        <v>32</v>
      </c>
      <c r="C2331">
        <v>-10</v>
      </c>
    </row>
    <row r="2332" spans="1:3" x14ac:dyDescent="0.5">
      <c r="A2332">
        <v>1898</v>
      </c>
      <c r="B2332" s="1" t="s">
        <v>32</v>
      </c>
      <c r="C2332">
        <v>-29</v>
      </c>
    </row>
    <row r="2333" spans="1:3" x14ac:dyDescent="0.5">
      <c r="A2333">
        <v>1899</v>
      </c>
      <c r="B2333" s="1" t="s">
        <v>32</v>
      </c>
      <c r="C2333">
        <v>3</v>
      </c>
    </row>
    <row r="2334" spans="1:3" x14ac:dyDescent="0.5">
      <c r="A2334">
        <v>1900</v>
      </c>
      <c r="B2334" s="1" t="s">
        <v>32</v>
      </c>
      <c r="C2334">
        <v>0</v>
      </c>
    </row>
    <row r="2335" spans="1:3" x14ac:dyDescent="0.5">
      <c r="A2335">
        <v>1901</v>
      </c>
      <c r="B2335" s="1" t="s">
        <v>32</v>
      </c>
      <c r="C2335">
        <v>-19</v>
      </c>
    </row>
    <row r="2336" spans="1:3" x14ac:dyDescent="0.5">
      <c r="A2336">
        <v>1902</v>
      </c>
      <c r="B2336" s="1" t="s">
        <v>32</v>
      </c>
      <c r="C2336">
        <v>-27</v>
      </c>
    </row>
    <row r="2337" spans="1:3" x14ac:dyDescent="0.5">
      <c r="A2337">
        <v>1903</v>
      </c>
      <c r="B2337" s="1" t="s">
        <v>32</v>
      </c>
      <c r="C2337">
        <v>-40</v>
      </c>
    </row>
    <row r="2338" spans="1:3" x14ac:dyDescent="0.5">
      <c r="A2338">
        <v>1904</v>
      </c>
      <c r="B2338" s="1" t="s">
        <v>32</v>
      </c>
      <c r="C2338">
        <v>-32</v>
      </c>
    </row>
    <row r="2339" spans="1:3" x14ac:dyDescent="0.5">
      <c r="A2339">
        <v>1905</v>
      </c>
      <c r="B2339" s="1" t="s">
        <v>32</v>
      </c>
      <c r="C2339">
        <v>-14</v>
      </c>
    </row>
    <row r="2340" spans="1:3" x14ac:dyDescent="0.5">
      <c r="A2340">
        <v>1906</v>
      </c>
      <c r="B2340" s="1" t="s">
        <v>32</v>
      </c>
      <c r="C2340">
        <v>-27</v>
      </c>
    </row>
    <row r="2341" spans="1:3" x14ac:dyDescent="0.5">
      <c r="A2341">
        <v>1907</v>
      </c>
      <c r="B2341" s="1" t="s">
        <v>32</v>
      </c>
      <c r="C2341">
        <v>-35</v>
      </c>
    </row>
    <row r="2342" spans="1:3" x14ac:dyDescent="0.5">
      <c r="A2342">
        <v>1908</v>
      </c>
      <c r="B2342" s="1" t="s">
        <v>32</v>
      </c>
      <c r="C2342">
        <v>-41</v>
      </c>
    </row>
    <row r="2343" spans="1:3" x14ac:dyDescent="0.5">
      <c r="A2343">
        <v>1909</v>
      </c>
      <c r="B2343" s="1" t="s">
        <v>32</v>
      </c>
      <c r="C2343">
        <v>-36</v>
      </c>
    </row>
    <row r="2344" spans="1:3" x14ac:dyDescent="0.5">
      <c r="A2344">
        <v>1910</v>
      </c>
      <c r="B2344" s="1" t="s">
        <v>32</v>
      </c>
      <c r="C2344">
        <v>-43</v>
      </c>
    </row>
    <row r="2345" spans="1:3" x14ac:dyDescent="0.5">
      <c r="A2345">
        <v>1911</v>
      </c>
      <c r="B2345" s="1" t="s">
        <v>32</v>
      </c>
      <c r="C2345">
        <v>-28</v>
      </c>
    </row>
    <row r="2346" spans="1:3" x14ac:dyDescent="0.5">
      <c r="A2346">
        <v>1912</v>
      </c>
      <c r="B2346" s="1" t="s">
        <v>32</v>
      </c>
      <c r="C2346">
        <v>-47</v>
      </c>
    </row>
    <row r="2347" spans="1:3" x14ac:dyDescent="0.5">
      <c r="A2347">
        <v>1913</v>
      </c>
      <c r="B2347" s="1" t="s">
        <v>32</v>
      </c>
      <c r="C2347">
        <v>-27</v>
      </c>
    </row>
    <row r="2348" spans="1:3" x14ac:dyDescent="0.5">
      <c r="A2348">
        <v>1914</v>
      </c>
      <c r="B2348" s="1" t="s">
        <v>32</v>
      </c>
      <c r="C2348">
        <v>-12</v>
      </c>
    </row>
    <row r="2349" spans="1:3" x14ac:dyDescent="0.5">
      <c r="A2349">
        <v>1915</v>
      </c>
      <c r="B2349" s="1" t="s">
        <v>32</v>
      </c>
      <c r="C2349">
        <v>-15</v>
      </c>
    </row>
    <row r="2350" spans="1:3" x14ac:dyDescent="0.5">
      <c r="A2350">
        <v>1916</v>
      </c>
      <c r="B2350" s="1" t="s">
        <v>32</v>
      </c>
      <c r="C2350">
        <v>-32</v>
      </c>
    </row>
    <row r="2351" spans="1:3" x14ac:dyDescent="0.5">
      <c r="A2351">
        <v>1917</v>
      </c>
      <c r="B2351" s="1" t="s">
        <v>32</v>
      </c>
      <c r="C2351">
        <v>-26</v>
      </c>
    </row>
    <row r="2352" spans="1:3" x14ac:dyDescent="0.5">
      <c r="A2352">
        <v>1918</v>
      </c>
      <c r="B2352" s="1" t="s">
        <v>32</v>
      </c>
      <c r="C2352">
        <v>-10</v>
      </c>
    </row>
    <row r="2353" spans="1:3" x14ac:dyDescent="0.5">
      <c r="A2353">
        <v>1919</v>
      </c>
      <c r="B2353" s="1" t="s">
        <v>32</v>
      </c>
      <c r="C2353">
        <v>-20</v>
      </c>
    </row>
    <row r="2354" spans="1:3" x14ac:dyDescent="0.5">
      <c r="A2354">
        <v>1920</v>
      </c>
      <c r="B2354" s="1" t="s">
        <v>32</v>
      </c>
      <c r="C2354">
        <v>-25</v>
      </c>
    </row>
    <row r="2355" spans="1:3" x14ac:dyDescent="0.5">
      <c r="A2355">
        <v>1921</v>
      </c>
      <c r="B2355" s="1" t="s">
        <v>32</v>
      </c>
      <c r="C2355">
        <v>-12</v>
      </c>
    </row>
    <row r="2356" spans="1:3" x14ac:dyDescent="0.5">
      <c r="A2356">
        <v>1922</v>
      </c>
      <c r="B2356" s="1" t="s">
        <v>32</v>
      </c>
      <c r="C2356">
        <v>-24</v>
      </c>
    </row>
    <row r="2357" spans="1:3" x14ac:dyDescent="0.5">
      <c r="A2357">
        <v>1923</v>
      </c>
      <c r="B2357" s="1" t="s">
        <v>32</v>
      </c>
      <c r="C2357">
        <v>-11</v>
      </c>
    </row>
    <row r="2358" spans="1:3" x14ac:dyDescent="0.5">
      <c r="A2358">
        <v>1924</v>
      </c>
      <c r="B2358" s="1" t="s">
        <v>32</v>
      </c>
      <c r="C2358">
        <v>-28</v>
      </c>
    </row>
    <row r="2359" spans="1:3" x14ac:dyDescent="0.5">
      <c r="A2359">
        <v>1925</v>
      </c>
      <c r="B2359" s="1" t="s">
        <v>32</v>
      </c>
      <c r="C2359">
        <v>-8</v>
      </c>
    </row>
    <row r="2360" spans="1:3" x14ac:dyDescent="0.5">
      <c r="A2360">
        <v>1926</v>
      </c>
      <c r="B2360" s="1" t="s">
        <v>32</v>
      </c>
      <c r="C2360">
        <v>-8</v>
      </c>
    </row>
    <row r="2361" spans="1:3" x14ac:dyDescent="0.5">
      <c r="A2361">
        <v>1927</v>
      </c>
      <c r="B2361" s="1" t="s">
        <v>32</v>
      </c>
      <c r="C2361">
        <v>-2</v>
      </c>
    </row>
    <row r="2362" spans="1:3" x14ac:dyDescent="0.5">
      <c r="A2362">
        <v>1928</v>
      </c>
      <c r="B2362" s="1" t="s">
        <v>32</v>
      </c>
      <c r="C2362">
        <v>-15</v>
      </c>
    </row>
    <row r="2363" spans="1:3" x14ac:dyDescent="0.5">
      <c r="A2363">
        <v>1929</v>
      </c>
      <c r="B2363" s="1" t="s">
        <v>32</v>
      </c>
      <c r="C2363">
        <v>-17</v>
      </c>
    </row>
    <row r="2364" spans="1:3" x14ac:dyDescent="0.5">
      <c r="A2364">
        <v>1930</v>
      </c>
      <c r="B2364" s="1" t="s">
        <v>32</v>
      </c>
      <c r="C2364">
        <v>-1</v>
      </c>
    </row>
    <row r="2365" spans="1:3" x14ac:dyDescent="0.5">
      <c r="A2365">
        <v>1931</v>
      </c>
      <c r="B2365" s="1" t="s">
        <v>32</v>
      </c>
      <c r="C2365">
        <v>-5</v>
      </c>
    </row>
    <row r="2366" spans="1:3" x14ac:dyDescent="0.5">
      <c r="A2366">
        <v>1932</v>
      </c>
      <c r="B2366" s="1" t="s">
        <v>32</v>
      </c>
      <c r="C2366">
        <v>-16</v>
      </c>
    </row>
    <row r="2367" spans="1:3" x14ac:dyDescent="0.5">
      <c r="A2367">
        <v>1933</v>
      </c>
      <c r="B2367" s="1" t="s">
        <v>32</v>
      </c>
      <c r="C2367">
        <v>-27</v>
      </c>
    </row>
    <row r="2368" spans="1:3" x14ac:dyDescent="0.5">
      <c r="A2368">
        <v>1934</v>
      </c>
      <c r="B2368" s="1" t="s">
        <v>32</v>
      </c>
      <c r="C2368">
        <v>-8</v>
      </c>
    </row>
    <row r="2369" spans="1:3" x14ac:dyDescent="0.5">
      <c r="A2369">
        <v>1935</v>
      </c>
      <c r="B2369" s="1" t="s">
        <v>32</v>
      </c>
      <c r="C2369">
        <v>-17</v>
      </c>
    </row>
    <row r="2370" spans="1:3" x14ac:dyDescent="0.5">
      <c r="A2370">
        <v>1936</v>
      </c>
      <c r="B2370" s="1" t="s">
        <v>32</v>
      </c>
      <c r="C2370">
        <v>-3</v>
      </c>
    </row>
    <row r="2371" spans="1:3" x14ac:dyDescent="0.5">
      <c r="A2371">
        <v>1937</v>
      </c>
      <c r="B2371" s="1" t="s">
        <v>32</v>
      </c>
      <c r="C2371">
        <v>12</v>
      </c>
    </row>
    <row r="2372" spans="1:3" x14ac:dyDescent="0.5">
      <c r="A2372">
        <v>1938</v>
      </c>
      <c r="B2372" s="1" t="s">
        <v>32</v>
      </c>
      <c r="C2372">
        <v>6</v>
      </c>
    </row>
    <row r="2373" spans="1:3" x14ac:dyDescent="0.5">
      <c r="A2373">
        <v>1939</v>
      </c>
      <c r="B2373" s="1" t="s">
        <v>32</v>
      </c>
      <c r="C2373">
        <v>2</v>
      </c>
    </row>
    <row r="2374" spans="1:3" x14ac:dyDescent="0.5">
      <c r="A2374">
        <v>1940</v>
      </c>
      <c r="B2374" s="1" t="s">
        <v>32</v>
      </c>
      <c r="C2374">
        <v>11</v>
      </c>
    </row>
    <row r="2375" spans="1:3" x14ac:dyDescent="0.5">
      <c r="A2375">
        <v>1941</v>
      </c>
      <c r="B2375" s="1" t="s">
        <v>32</v>
      </c>
      <c r="C2375">
        <v>14</v>
      </c>
    </row>
    <row r="2376" spans="1:3" x14ac:dyDescent="0.5">
      <c r="A2376">
        <v>1942</v>
      </c>
      <c r="B2376" s="1" t="s">
        <v>32</v>
      </c>
      <c r="C2376">
        <v>7</v>
      </c>
    </row>
    <row r="2377" spans="1:3" x14ac:dyDescent="0.5">
      <c r="A2377">
        <v>1943</v>
      </c>
      <c r="B2377" s="1" t="s">
        <v>32</v>
      </c>
      <c r="C2377">
        <v>23</v>
      </c>
    </row>
    <row r="2378" spans="1:3" x14ac:dyDescent="0.5">
      <c r="A2378">
        <v>1944</v>
      </c>
      <c r="B2378" s="1" t="s">
        <v>32</v>
      </c>
      <c r="C2378">
        <v>24</v>
      </c>
    </row>
    <row r="2379" spans="1:3" x14ac:dyDescent="0.5">
      <c r="A2379">
        <v>1945</v>
      </c>
      <c r="B2379" s="1" t="s">
        <v>32</v>
      </c>
      <c r="C2379">
        <v>18</v>
      </c>
    </row>
    <row r="2380" spans="1:3" x14ac:dyDescent="0.5">
      <c r="A2380">
        <v>1946</v>
      </c>
      <c r="B2380" s="1" t="s">
        <v>32</v>
      </c>
      <c r="C2380">
        <v>-3</v>
      </c>
    </row>
    <row r="2381" spans="1:3" x14ac:dyDescent="0.5">
      <c r="A2381">
        <v>1947</v>
      </c>
      <c r="B2381" s="1" t="s">
        <v>32</v>
      </c>
      <c r="C2381">
        <v>-2</v>
      </c>
    </row>
    <row r="2382" spans="1:3" x14ac:dyDescent="0.5">
      <c r="A2382">
        <v>1948</v>
      </c>
      <c r="B2382" s="1" t="s">
        <v>32</v>
      </c>
      <c r="C2382">
        <v>-9</v>
      </c>
    </row>
    <row r="2383" spans="1:3" x14ac:dyDescent="0.5">
      <c r="A2383">
        <v>1949</v>
      </c>
      <c r="B2383" s="1" t="s">
        <v>32</v>
      </c>
      <c r="C2383">
        <v>-7</v>
      </c>
    </row>
    <row r="2384" spans="1:3" x14ac:dyDescent="0.5">
      <c r="A2384">
        <v>1950</v>
      </c>
      <c r="B2384" s="1" t="s">
        <v>32</v>
      </c>
      <c r="C2384">
        <v>-21</v>
      </c>
    </row>
    <row r="2385" spans="1:3" x14ac:dyDescent="0.5">
      <c r="A2385">
        <v>1951</v>
      </c>
      <c r="B2385" s="1" t="s">
        <v>32</v>
      </c>
      <c r="C2385">
        <v>5</v>
      </c>
    </row>
    <row r="2386" spans="1:3" x14ac:dyDescent="0.5">
      <c r="A2386">
        <v>1952</v>
      </c>
      <c r="B2386" s="1" t="s">
        <v>32</v>
      </c>
      <c r="C2386">
        <v>-4</v>
      </c>
    </row>
    <row r="2387" spans="1:3" x14ac:dyDescent="0.5">
      <c r="A2387">
        <v>1953</v>
      </c>
      <c r="B2387" s="1" t="s">
        <v>32</v>
      </c>
      <c r="C2387">
        <v>2</v>
      </c>
    </row>
    <row r="2388" spans="1:3" x14ac:dyDescent="0.5">
      <c r="A2388">
        <v>1954</v>
      </c>
      <c r="B2388" s="1" t="s">
        <v>32</v>
      </c>
      <c r="C2388">
        <v>1</v>
      </c>
    </row>
    <row r="2389" spans="1:3" x14ac:dyDescent="0.5">
      <c r="A2389">
        <v>1955</v>
      </c>
      <c r="B2389" s="1" t="s">
        <v>32</v>
      </c>
      <c r="C2389">
        <v>-15</v>
      </c>
    </row>
    <row r="2390" spans="1:3" x14ac:dyDescent="0.5">
      <c r="A2390">
        <v>1956</v>
      </c>
      <c r="B2390" s="1" t="s">
        <v>32</v>
      </c>
      <c r="C2390">
        <v>-19</v>
      </c>
    </row>
    <row r="2391" spans="1:3" x14ac:dyDescent="0.5">
      <c r="A2391">
        <v>1957</v>
      </c>
      <c r="B2391" s="1" t="s">
        <v>32</v>
      </c>
      <c r="C2391">
        <v>5</v>
      </c>
    </row>
    <row r="2392" spans="1:3" x14ac:dyDescent="0.5">
      <c r="A2392">
        <v>1958</v>
      </c>
      <c r="B2392" s="1" t="s">
        <v>32</v>
      </c>
      <c r="C2392">
        <v>0</v>
      </c>
    </row>
    <row r="2393" spans="1:3" x14ac:dyDescent="0.5">
      <c r="A2393">
        <v>1959</v>
      </c>
      <c r="B2393" s="1" t="s">
        <v>32</v>
      </c>
      <c r="C2393">
        <v>-8</v>
      </c>
    </row>
    <row r="2394" spans="1:3" x14ac:dyDescent="0.5">
      <c r="A2394">
        <v>1960</v>
      </c>
      <c r="B2394" s="1" t="s">
        <v>32</v>
      </c>
      <c r="C2394">
        <v>0</v>
      </c>
    </row>
    <row r="2395" spans="1:3" x14ac:dyDescent="0.5">
      <c r="A2395">
        <v>1961</v>
      </c>
      <c r="B2395" s="1" t="s">
        <v>32</v>
      </c>
      <c r="C2395">
        <v>2</v>
      </c>
    </row>
    <row r="2396" spans="1:3" x14ac:dyDescent="0.5">
      <c r="A2396">
        <v>1962</v>
      </c>
      <c r="B2396" s="1" t="s">
        <v>32</v>
      </c>
      <c r="C2396">
        <v>0</v>
      </c>
    </row>
    <row r="2397" spans="1:3" x14ac:dyDescent="0.5">
      <c r="A2397">
        <v>1963</v>
      </c>
      <c r="B2397" s="1" t="s">
        <v>32</v>
      </c>
      <c r="C2397">
        <v>17</v>
      </c>
    </row>
    <row r="2398" spans="1:3" x14ac:dyDescent="0.5">
      <c r="A2398">
        <v>1964</v>
      </c>
      <c r="B2398" s="1" t="s">
        <v>32</v>
      </c>
      <c r="C2398">
        <v>-26</v>
      </c>
    </row>
    <row r="2399" spans="1:3" x14ac:dyDescent="0.5">
      <c r="A2399">
        <v>1965</v>
      </c>
      <c r="B2399" s="1" t="s">
        <v>32</v>
      </c>
      <c r="C2399">
        <v>-7</v>
      </c>
    </row>
    <row r="2400" spans="1:3" x14ac:dyDescent="0.5">
      <c r="A2400">
        <v>1966</v>
      </c>
      <c r="B2400" s="1" t="s">
        <v>32</v>
      </c>
      <c r="C2400">
        <v>-6</v>
      </c>
    </row>
    <row r="2401" spans="1:3" x14ac:dyDescent="0.5">
      <c r="A2401">
        <v>1967</v>
      </c>
      <c r="B2401" s="1" t="s">
        <v>32</v>
      </c>
      <c r="C2401">
        <v>-1</v>
      </c>
    </row>
    <row r="2402" spans="1:3" x14ac:dyDescent="0.5">
      <c r="A2402">
        <v>1968</v>
      </c>
      <c r="B2402" s="1" t="s">
        <v>32</v>
      </c>
      <c r="C2402">
        <v>-4</v>
      </c>
    </row>
    <row r="2403" spans="1:3" x14ac:dyDescent="0.5">
      <c r="A2403">
        <v>1969</v>
      </c>
      <c r="B2403" s="1" t="s">
        <v>32</v>
      </c>
      <c r="C2403">
        <v>10</v>
      </c>
    </row>
    <row r="2404" spans="1:3" x14ac:dyDescent="0.5">
      <c r="A2404">
        <v>1970</v>
      </c>
      <c r="B2404" s="1" t="s">
        <v>32</v>
      </c>
      <c r="C2404">
        <v>6</v>
      </c>
    </row>
    <row r="2405" spans="1:3" x14ac:dyDescent="0.5">
      <c r="A2405">
        <v>1971</v>
      </c>
      <c r="B2405" s="1" t="s">
        <v>32</v>
      </c>
      <c r="C2405">
        <v>-4</v>
      </c>
    </row>
    <row r="2406" spans="1:3" x14ac:dyDescent="0.5">
      <c r="A2406">
        <v>1972</v>
      </c>
      <c r="B2406" s="1" t="s">
        <v>32</v>
      </c>
      <c r="C2406">
        <v>4</v>
      </c>
    </row>
    <row r="2407" spans="1:3" x14ac:dyDescent="0.5">
      <c r="A2407">
        <v>1973</v>
      </c>
      <c r="B2407" s="1" t="s">
        <v>32</v>
      </c>
      <c r="C2407">
        <v>8</v>
      </c>
    </row>
    <row r="2408" spans="1:3" x14ac:dyDescent="0.5">
      <c r="A2408">
        <v>1974</v>
      </c>
      <c r="B2408" s="1" t="s">
        <v>32</v>
      </c>
      <c r="C2408">
        <v>-9</v>
      </c>
    </row>
    <row r="2409" spans="1:3" x14ac:dyDescent="0.5">
      <c r="A2409">
        <v>1975</v>
      </c>
      <c r="B2409" s="1" t="s">
        <v>32</v>
      </c>
      <c r="C2409">
        <v>-9</v>
      </c>
    </row>
    <row r="2410" spans="1:3" x14ac:dyDescent="0.5">
      <c r="A2410">
        <v>1976</v>
      </c>
      <c r="B2410" s="1" t="s">
        <v>32</v>
      </c>
      <c r="C2410">
        <v>-14</v>
      </c>
    </row>
    <row r="2411" spans="1:3" x14ac:dyDescent="0.5">
      <c r="A2411">
        <v>1977</v>
      </c>
      <c r="B2411" s="1" t="s">
        <v>32</v>
      </c>
      <c r="C2411">
        <v>9</v>
      </c>
    </row>
    <row r="2412" spans="1:3" x14ac:dyDescent="0.5">
      <c r="A2412">
        <v>1978</v>
      </c>
      <c r="B2412" s="1" t="s">
        <v>32</v>
      </c>
      <c r="C2412">
        <v>8</v>
      </c>
    </row>
    <row r="2413" spans="1:3" x14ac:dyDescent="0.5">
      <c r="A2413">
        <v>1979</v>
      </c>
      <c r="B2413" s="1" t="s">
        <v>32</v>
      </c>
      <c r="C2413">
        <v>27</v>
      </c>
    </row>
    <row r="2414" spans="1:3" x14ac:dyDescent="0.5">
      <c r="A2414">
        <v>1980</v>
      </c>
      <c r="B2414" s="1" t="s">
        <v>32</v>
      </c>
      <c r="C2414">
        <v>23</v>
      </c>
    </row>
    <row r="2415" spans="1:3" x14ac:dyDescent="0.5">
      <c r="A2415">
        <v>1981</v>
      </c>
      <c r="B2415" s="1" t="s">
        <v>32</v>
      </c>
      <c r="C2415">
        <v>18</v>
      </c>
    </row>
    <row r="2416" spans="1:3" x14ac:dyDescent="0.5">
      <c r="A2416">
        <v>1982</v>
      </c>
      <c r="B2416" s="1" t="s">
        <v>32</v>
      </c>
      <c r="C2416">
        <v>14</v>
      </c>
    </row>
    <row r="2417" spans="1:3" x14ac:dyDescent="0.5">
      <c r="A2417">
        <v>1983</v>
      </c>
      <c r="B2417" s="1" t="s">
        <v>32</v>
      </c>
      <c r="C2417">
        <v>28</v>
      </c>
    </row>
    <row r="2418" spans="1:3" x14ac:dyDescent="0.5">
      <c r="A2418">
        <v>1984</v>
      </c>
      <c r="B2418" s="1" t="s">
        <v>32</v>
      </c>
      <c r="C2418">
        <v>13</v>
      </c>
    </row>
    <row r="2419" spans="1:3" x14ac:dyDescent="0.5">
      <c r="A2419">
        <v>1985</v>
      </c>
      <c r="B2419" s="1" t="s">
        <v>32</v>
      </c>
      <c r="C2419">
        <v>13</v>
      </c>
    </row>
    <row r="2420" spans="1:3" x14ac:dyDescent="0.5">
      <c r="A2420">
        <v>1986</v>
      </c>
      <c r="B2420" s="1" t="s">
        <v>32</v>
      </c>
      <c r="C2420">
        <v>9</v>
      </c>
    </row>
    <row r="2421" spans="1:3" x14ac:dyDescent="0.5">
      <c r="A2421">
        <v>1987</v>
      </c>
      <c r="B2421" s="1" t="s">
        <v>32</v>
      </c>
      <c r="C2421">
        <v>33</v>
      </c>
    </row>
    <row r="2422" spans="1:3" x14ac:dyDescent="0.5">
      <c r="A2422">
        <v>1988</v>
      </c>
      <c r="B2422" s="1" t="s">
        <v>32</v>
      </c>
      <c r="C2422">
        <v>30</v>
      </c>
    </row>
    <row r="2423" spans="1:3" x14ac:dyDescent="0.5">
      <c r="A2423">
        <v>1989</v>
      </c>
      <c r="B2423" s="1" t="s">
        <v>32</v>
      </c>
      <c r="C2423">
        <v>30</v>
      </c>
    </row>
    <row r="2424" spans="1:3" x14ac:dyDescent="0.5">
      <c r="A2424">
        <v>1990</v>
      </c>
      <c r="B2424" s="1" t="s">
        <v>32</v>
      </c>
      <c r="C2424">
        <v>39</v>
      </c>
    </row>
    <row r="2425" spans="1:3" x14ac:dyDescent="0.5">
      <c r="A2425">
        <v>1991</v>
      </c>
      <c r="B2425" s="1" t="s">
        <v>32</v>
      </c>
      <c r="C2425">
        <v>37</v>
      </c>
    </row>
    <row r="2426" spans="1:3" x14ac:dyDescent="0.5">
      <c r="A2426">
        <v>1992</v>
      </c>
      <c r="B2426" s="1" t="s">
        <v>32</v>
      </c>
      <c r="C2426">
        <v>5</v>
      </c>
    </row>
    <row r="2427" spans="1:3" x14ac:dyDescent="0.5">
      <c r="A2427">
        <v>1993</v>
      </c>
      <c r="B2427" s="1" t="s">
        <v>32</v>
      </c>
      <c r="C2427">
        <v>14</v>
      </c>
    </row>
    <row r="2428" spans="1:3" x14ac:dyDescent="0.5">
      <c r="A2428">
        <v>1994</v>
      </c>
      <c r="B2428" s="1" t="s">
        <v>32</v>
      </c>
      <c r="C2428">
        <v>41</v>
      </c>
    </row>
    <row r="2429" spans="1:3" x14ac:dyDescent="0.5">
      <c r="A2429">
        <v>1995</v>
      </c>
      <c r="B2429" s="1" t="s">
        <v>32</v>
      </c>
      <c r="C2429">
        <v>43</v>
      </c>
    </row>
    <row r="2430" spans="1:3" x14ac:dyDescent="0.5">
      <c r="A2430">
        <v>1996</v>
      </c>
      <c r="B2430" s="1" t="s">
        <v>32</v>
      </c>
      <c r="C2430">
        <v>29</v>
      </c>
    </row>
    <row r="2431" spans="1:3" x14ac:dyDescent="0.5">
      <c r="A2431">
        <v>1997</v>
      </c>
      <c r="B2431" s="1" t="s">
        <v>32</v>
      </c>
      <c r="C2431">
        <v>62</v>
      </c>
    </row>
    <row r="2432" spans="1:3" x14ac:dyDescent="0.5">
      <c r="A2432">
        <v>1998</v>
      </c>
      <c r="B2432" s="1" t="s">
        <v>32</v>
      </c>
      <c r="C2432">
        <v>47</v>
      </c>
    </row>
    <row r="2433" spans="1:3" x14ac:dyDescent="0.5">
      <c r="A2433">
        <v>1999</v>
      </c>
      <c r="B2433" s="1" t="s">
        <v>32</v>
      </c>
      <c r="C2433">
        <v>42</v>
      </c>
    </row>
    <row r="2434" spans="1:3" x14ac:dyDescent="0.5">
      <c r="A2434">
        <v>2000</v>
      </c>
      <c r="B2434" s="1" t="s">
        <v>32</v>
      </c>
      <c r="C2434">
        <v>35</v>
      </c>
    </row>
    <row r="2435" spans="1:3" x14ac:dyDescent="0.5">
      <c r="A2435">
        <v>2001</v>
      </c>
      <c r="B2435" s="1" t="s">
        <v>32</v>
      </c>
      <c r="C2435">
        <v>59</v>
      </c>
    </row>
    <row r="2436" spans="1:3" x14ac:dyDescent="0.5">
      <c r="A2436">
        <v>2002</v>
      </c>
      <c r="B2436" s="1" t="s">
        <v>32</v>
      </c>
      <c r="C2436">
        <v>60</v>
      </c>
    </row>
    <row r="2437" spans="1:3" x14ac:dyDescent="0.5">
      <c r="A2437">
        <v>2003</v>
      </c>
      <c r="B2437" s="1" t="s">
        <v>32</v>
      </c>
      <c r="C2437">
        <v>66</v>
      </c>
    </row>
    <row r="2438" spans="1:3" x14ac:dyDescent="0.5">
      <c r="A2438">
        <v>2004</v>
      </c>
      <c r="B2438" s="1" t="s">
        <v>32</v>
      </c>
      <c r="C2438">
        <v>64</v>
      </c>
    </row>
    <row r="2439" spans="1:3" x14ac:dyDescent="0.5">
      <c r="A2439">
        <v>2005</v>
      </c>
      <c r="B2439" s="1" t="s">
        <v>32</v>
      </c>
      <c r="C2439">
        <v>77</v>
      </c>
    </row>
    <row r="2440" spans="1:3" x14ac:dyDescent="0.5">
      <c r="A2440">
        <v>2006</v>
      </c>
      <c r="B2440" s="1" t="s">
        <v>32</v>
      </c>
      <c r="C2440">
        <v>69</v>
      </c>
    </row>
    <row r="2441" spans="1:3" x14ac:dyDescent="0.5">
      <c r="A2441">
        <v>2007</v>
      </c>
      <c r="B2441" s="1" t="s">
        <v>32</v>
      </c>
      <c r="C2441">
        <v>61</v>
      </c>
    </row>
    <row r="2442" spans="1:3" x14ac:dyDescent="0.5">
      <c r="A2442">
        <v>2008</v>
      </c>
      <c r="B2442" s="1" t="s">
        <v>32</v>
      </c>
      <c r="C2442">
        <v>66</v>
      </c>
    </row>
    <row r="2443" spans="1:3" x14ac:dyDescent="0.5">
      <c r="A2443">
        <v>2009</v>
      </c>
      <c r="B2443" s="1" t="s">
        <v>32</v>
      </c>
      <c r="C2443">
        <v>71</v>
      </c>
    </row>
    <row r="2444" spans="1:3" x14ac:dyDescent="0.5">
      <c r="A2444">
        <v>2010</v>
      </c>
      <c r="B2444" s="1" t="s">
        <v>32</v>
      </c>
      <c r="C2444">
        <v>71</v>
      </c>
    </row>
    <row r="2445" spans="1:3" x14ac:dyDescent="0.5">
      <c r="A2445">
        <v>2011</v>
      </c>
      <c r="B2445" s="1" t="s">
        <v>32</v>
      </c>
      <c r="C2445">
        <v>60</v>
      </c>
    </row>
    <row r="2446" spans="1:3" x14ac:dyDescent="0.5">
      <c r="A2446">
        <v>2012</v>
      </c>
      <c r="B2446" s="1" t="s">
        <v>32</v>
      </c>
      <c r="C2446">
        <v>76</v>
      </c>
    </row>
    <row r="2447" spans="1:3" x14ac:dyDescent="0.5">
      <c r="A2447">
        <v>2013</v>
      </c>
      <c r="B2447" s="1" t="s">
        <v>32</v>
      </c>
      <c r="C2447">
        <v>76</v>
      </c>
    </row>
    <row r="2448" spans="1:3" x14ac:dyDescent="0.5">
      <c r="A2448">
        <v>2014</v>
      </c>
      <c r="B2448" s="1" t="s">
        <v>32</v>
      </c>
      <c r="C2448">
        <v>81</v>
      </c>
    </row>
    <row r="2449" spans="1:2" x14ac:dyDescent="0.5">
      <c r="A2449">
        <v>2015</v>
      </c>
      <c r="B2449" s="1" t="s">
        <v>32</v>
      </c>
    </row>
  </sheetData>
  <autoFilter ref="A1:C1" xr:uid="{52C70D0C-07E9-4BB7-8BF5-7485BC05E87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891"/>
  <sheetViews>
    <sheetView zoomScale="70" zoomScaleNormal="70" workbookViewId="0">
      <selection sqref="A1:C1891"/>
    </sheetView>
  </sheetViews>
  <sheetFormatPr defaultColWidth="11" defaultRowHeight="15.75" x14ac:dyDescent="0.5"/>
  <cols>
    <col min="1" max="1" width="5.1875" bestFit="1" customWidth="1"/>
    <col min="2" max="2" width="5.1875" customWidth="1"/>
    <col min="3" max="3" width="4.8125" bestFit="1" customWidth="1"/>
    <col min="4" max="4" width="4.8125" customWidth="1"/>
    <col min="5" max="5" width="6.1875" bestFit="1" customWidth="1"/>
    <col min="6" max="6" width="6.1875" customWidth="1"/>
    <col min="7" max="7" width="5.8125" bestFit="1" customWidth="1"/>
    <col min="8" max="8" width="5.8125" customWidth="1"/>
    <col min="9" max="9" width="8.3125" bestFit="1" customWidth="1"/>
    <col min="10" max="10" width="8.3125" customWidth="1"/>
    <col min="11" max="11" width="8" bestFit="1" customWidth="1"/>
    <col min="12" max="12" width="8" customWidth="1"/>
    <col min="13" max="13" width="7.6875" bestFit="1" customWidth="1"/>
    <col min="14" max="14" width="7.6875" customWidth="1"/>
    <col min="15" max="15" width="8.3125" bestFit="1" customWidth="1"/>
    <col min="16" max="16" width="8.3125" customWidth="1"/>
    <col min="17" max="17" width="8.3125" bestFit="1" customWidth="1"/>
    <col min="18" max="18" width="8.3125" customWidth="1"/>
    <col min="19" max="19" width="8.3125" bestFit="1" customWidth="1"/>
    <col min="20" max="20" width="8.3125" customWidth="1"/>
    <col min="21" max="21" width="8.6875" bestFit="1" customWidth="1"/>
    <col min="22" max="22" width="8.6875" customWidth="1"/>
    <col min="23" max="23" width="8.1875" bestFit="1" customWidth="1"/>
    <col min="24" max="24" width="8.1875" customWidth="1"/>
    <col min="25" max="25" width="7.6875" bestFit="1" customWidth="1"/>
    <col min="26" max="26" width="7.6875" customWidth="1"/>
    <col min="27" max="27" width="7.6875" bestFit="1" customWidth="1"/>
    <col min="28" max="28" width="7.6875" customWidth="1"/>
    <col min="29" max="29" width="7.6875" bestFit="1" customWidth="1"/>
  </cols>
  <sheetData>
    <row r="1" spans="1:3" x14ac:dyDescent="0.5">
      <c r="A1" t="s">
        <v>0</v>
      </c>
      <c r="B1" t="s">
        <v>37</v>
      </c>
      <c r="C1" t="s">
        <v>34</v>
      </c>
    </row>
    <row r="2" spans="1:3" x14ac:dyDescent="0.5">
      <c r="A2">
        <v>1880</v>
      </c>
      <c r="B2" t="s">
        <v>1</v>
      </c>
      <c r="C2">
        <v>-19</v>
      </c>
    </row>
    <row r="3" spans="1:3" x14ac:dyDescent="0.5">
      <c r="A3">
        <v>1881</v>
      </c>
      <c r="B3" t="s">
        <v>1</v>
      </c>
      <c r="C3">
        <v>-10</v>
      </c>
    </row>
    <row r="4" spans="1:3" x14ac:dyDescent="0.5">
      <c r="A4">
        <v>1882</v>
      </c>
      <c r="B4" t="s">
        <v>1</v>
      </c>
      <c r="C4">
        <v>-9</v>
      </c>
    </row>
    <row r="5" spans="1:3" x14ac:dyDescent="0.5">
      <c r="A5">
        <v>1883</v>
      </c>
      <c r="B5" t="s">
        <v>1</v>
      </c>
      <c r="C5">
        <v>-19</v>
      </c>
    </row>
    <row r="6" spans="1:3" x14ac:dyDescent="0.5">
      <c r="A6">
        <v>1884</v>
      </c>
      <c r="B6" t="s">
        <v>1</v>
      </c>
      <c r="C6">
        <v>-27</v>
      </c>
    </row>
    <row r="7" spans="1:3" x14ac:dyDescent="0.5">
      <c r="A7">
        <v>1885</v>
      </c>
      <c r="B7" t="s">
        <v>1</v>
      </c>
      <c r="C7">
        <v>-31</v>
      </c>
    </row>
    <row r="8" spans="1:3" x14ac:dyDescent="0.5">
      <c r="A8">
        <v>1886</v>
      </c>
      <c r="B8" t="s">
        <v>1</v>
      </c>
      <c r="C8">
        <v>-30</v>
      </c>
    </row>
    <row r="9" spans="1:3" x14ac:dyDescent="0.5">
      <c r="A9">
        <v>1887</v>
      </c>
      <c r="B9" t="s">
        <v>1</v>
      </c>
      <c r="C9">
        <v>-33</v>
      </c>
    </row>
    <row r="10" spans="1:3" x14ac:dyDescent="0.5">
      <c r="A10">
        <v>1888</v>
      </c>
      <c r="B10" t="s">
        <v>1</v>
      </c>
      <c r="C10">
        <v>-20</v>
      </c>
    </row>
    <row r="11" spans="1:3" x14ac:dyDescent="0.5">
      <c r="A11">
        <v>1889</v>
      </c>
      <c r="B11" t="s">
        <v>1</v>
      </c>
      <c r="C11">
        <v>-11</v>
      </c>
    </row>
    <row r="12" spans="1:3" x14ac:dyDescent="0.5">
      <c r="A12">
        <v>1890</v>
      </c>
      <c r="B12" t="s">
        <v>1</v>
      </c>
      <c r="C12">
        <v>-36</v>
      </c>
    </row>
    <row r="13" spans="1:3" x14ac:dyDescent="0.5">
      <c r="A13">
        <v>1891</v>
      </c>
      <c r="B13" t="s">
        <v>1</v>
      </c>
      <c r="C13">
        <v>-23</v>
      </c>
    </row>
    <row r="14" spans="1:3" x14ac:dyDescent="0.5">
      <c r="A14">
        <v>1892</v>
      </c>
      <c r="B14" t="s">
        <v>1</v>
      </c>
      <c r="C14">
        <v>-26</v>
      </c>
    </row>
    <row r="15" spans="1:3" x14ac:dyDescent="0.5">
      <c r="A15">
        <v>1893</v>
      </c>
      <c r="B15" t="s">
        <v>1</v>
      </c>
      <c r="C15">
        <v>-29</v>
      </c>
    </row>
    <row r="16" spans="1:3" x14ac:dyDescent="0.5">
      <c r="A16">
        <v>1894</v>
      </c>
      <c r="B16" t="s">
        <v>1</v>
      </c>
      <c r="C16">
        <v>-30</v>
      </c>
    </row>
    <row r="17" spans="1:3" x14ac:dyDescent="0.5">
      <c r="A17">
        <v>1895</v>
      </c>
      <c r="B17" t="s">
        <v>1</v>
      </c>
      <c r="C17">
        <v>-21</v>
      </c>
    </row>
    <row r="18" spans="1:3" x14ac:dyDescent="0.5">
      <c r="A18">
        <v>1896</v>
      </c>
      <c r="B18" t="s">
        <v>1</v>
      </c>
      <c r="C18">
        <v>-14</v>
      </c>
    </row>
    <row r="19" spans="1:3" x14ac:dyDescent="0.5">
      <c r="A19">
        <v>1897</v>
      </c>
      <c r="B19" t="s">
        <v>1</v>
      </c>
      <c r="C19">
        <v>-11</v>
      </c>
    </row>
    <row r="20" spans="1:3" x14ac:dyDescent="0.5">
      <c r="A20">
        <v>1898</v>
      </c>
      <c r="B20" t="s">
        <v>1</v>
      </c>
      <c r="C20">
        <v>-28</v>
      </c>
    </row>
    <row r="21" spans="1:3" x14ac:dyDescent="0.5">
      <c r="A21">
        <v>1899</v>
      </c>
      <c r="B21" t="s">
        <v>1</v>
      </c>
      <c r="C21">
        <v>-16</v>
      </c>
    </row>
    <row r="22" spans="1:3" x14ac:dyDescent="0.5">
      <c r="A22">
        <v>1900</v>
      </c>
      <c r="B22" t="s">
        <v>1</v>
      </c>
      <c r="C22">
        <v>-8</v>
      </c>
    </row>
    <row r="23" spans="1:3" x14ac:dyDescent="0.5">
      <c r="A23">
        <v>1901</v>
      </c>
      <c r="B23" t="s">
        <v>1</v>
      </c>
      <c r="C23">
        <v>-13</v>
      </c>
    </row>
    <row r="24" spans="1:3" x14ac:dyDescent="0.5">
      <c r="A24">
        <v>1902</v>
      </c>
      <c r="B24" t="s">
        <v>1</v>
      </c>
      <c r="C24">
        <v>-26</v>
      </c>
    </row>
    <row r="25" spans="1:3" x14ac:dyDescent="0.5">
      <c r="A25">
        <v>1903</v>
      </c>
      <c r="B25" t="s">
        <v>1</v>
      </c>
      <c r="C25">
        <v>-35</v>
      </c>
    </row>
    <row r="26" spans="1:3" x14ac:dyDescent="0.5">
      <c r="A26">
        <v>1904</v>
      </c>
      <c r="B26" t="s">
        <v>1</v>
      </c>
      <c r="C26">
        <v>-44</v>
      </c>
    </row>
    <row r="27" spans="1:3" x14ac:dyDescent="0.5">
      <c r="A27">
        <v>1905</v>
      </c>
      <c r="B27" t="s">
        <v>1</v>
      </c>
      <c r="C27">
        <v>-27</v>
      </c>
    </row>
    <row r="28" spans="1:3" x14ac:dyDescent="0.5">
      <c r="A28">
        <v>1906</v>
      </c>
      <c r="B28" t="s">
        <v>1</v>
      </c>
      <c r="C28">
        <v>-21</v>
      </c>
    </row>
    <row r="29" spans="1:3" x14ac:dyDescent="0.5">
      <c r="A29">
        <v>1907</v>
      </c>
      <c r="B29" t="s">
        <v>1</v>
      </c>
      <c r="C29">
        <v>-39</v>
      </c>
    </row>
    <row r="30" spans="1:3" x14ac:dyDescent="0.5">
      <c r="A30">
        <v>1908</v>
      </c>
      <c r="B30" t="s">
        <v>1</v>
      </c>
      <c r="C30">
        <v>-42</v>
      </c>
    </row>
    <row r="31" spans="1:3" x14ac:dyDescent="0.5">
      <c r="A31">
        <v>1909</v>
      </c>
      <c r="B31" t="s">
        <v>1</v>
      </c>
      <c r="C31">
        <v>-47</v>
      </c>
    </row>
    <row r="32" spans="1:3" x14ac:dyDescent="0.5">
      <c r="A32">
        <v>1910</v>
      </c>
      <c r="B32" t="s">
        <v>1</v>
      </c>
      <c r="C32">
        <v>-42</v>
      </c>
    </row>
    <row r="33" spans="1:3" x14ac:dyDescent="0.5">
      <c r="A33">
        <v>1911</v>
      </c>
      <c r="B33" t="s">
        <v>1</v>
      </c>
      <c r="C33">
        <v>-44</v>
      </c>
    </row>
    <row r="34" spans="1:3" x14ac:dyDescent="0.5">
      <c r="A34">
        <v>1912</v>
      </c>
      <c r="B34" t="s">
        <v>1</v>
      </c>
      <c r="C34">
        <v>-35</v>
      </c>
    </row>
    <row r="35" spans="1:3" x14ac:dyDescent="0.5">
      <c r="A35">
        <v>1913</v>
      </c>
      <c r="B35" t="s">
        <v>1</v>
      </c>
      <c r="C35">
        <v>-33</v>
      </c>
    </row>
    <row r="36" spans="1:3" x14ac:dyDescent="0.5">
      <c r="A36">
        <v>1914</v>
      </c>
      <c r="B36" t="s">
        <v>1</v>
      </c>
      <c r="C36">
        <v>-15</v>
      </c>
    </row>
    <row r="37" spans="1:3" x14ac:dyDescent="0.5">
      <c r="A37">
        <v>1915</v>
      </c>
      <c r="B37" t="s">
        <v>1</v>
      </c>
      <c r="C37">
        <v>-10</v>
      </c>
    </row>
    <row r="38" spans="1:3" x14ac:dyDescent="0.5">
      <c r="A38">
        <v>1916</v>
      </c>
      <c r="B38" t="s">
        <v>1</v>
      </c>
      <c r="C38">
        <v>-33</v>
      </c>
    </row>
    <row r="39" spans="1:3" x14ac:dyDescent="0.5">
      <c r="A39">
        <v>1917</v>
      </c>
      <c r="B39" t="s">
        <v>1</v>
      </c>
      <c r="C39">
        <v>-39</v>
      </c>
    </row>
    <row r="40" spans="1:3" x14ac:dyDescent="0.5">
      <c r="A40">
        <v>1918</v>
      </c>
      <c r="B40" t="s">
        <v>1</v>
      </c>
      <c r="C40">
        <v>-24</v>
      </c>
    </row>
    <row r="41" spans="1:3" x14ac:dyDescent="0.5">
      <c r="A41">
        <v>1919</v>
      </c>
      <c r="B41" t="s">
        <v>1</v>
      </c>
      <c r="C41">
        <v>-21</v>
      </c>
    </row>
    <row r="42" spans="1:3" x14ac:dyDescent="0.5">
      <c r="A42">
        <v>1920</v>
      </c>
      <c r="B42" t="s">
        <v>1</v>
      </c>
      <c r="C42">
        <v>-25</v>
      </c>
    </row>
    <row r="43" spans="1:3" x14ac:dyDescent="0.5">
      <c r="A43">
        <v>1921</v>
      </c>
      <c r="B43" t="s">
        <v>1</v>
      </c>
      <c r="C43">
        <v>-19</v>
      </c>
    </row>
    <row r="44" spans="1:3" x14ac:dyDescent="0.5">
      <c r="A44">
        <v>1922</v>
      </c>
      <c r="B44" t="s">
        <v>1</v>
      </c>
      <c r="C44">
        <v>-26</v>
      </c>
    </row>
    <row r="45" spans="1:3" x14ac:dyDescent="0.5">
      <c r="A45">
        <v>1923</v>
      </c>
      <c r="B45" t="s">
        <v>1</v>
      </c>
      <c r="C45">
        <v>-22</v>
      </c>
    </row>
    <row r="46" spans="1:3" x14ac:dyDescent="0.5">
      <c r="A46">
        <v>1924</v>
      </c>
      <c r="B46" t="s">
        <v>1</v>
      </c>
      <c r="C46">
        <v>-26</v>
      </c>
    </row>
    <row r="47" spans="1:3" x14ac:dyDescent="0.5">
      <c r="A47">
        <v>1925</v>
      </c>
      <c r="B47" t="s">
        <v>1</v>
      </c>
      <c r="C47">
        <v>-19</v>
      </c>
    </row>
    <row r="48" spans="1:3" x14ac:dyDescent="0.5">
      <c r="A48">
        <v>1926</v>
      </c>
      <c r="B48" t="s">
        <v>1</v>
      </c>
      <c r="C48">
        <v>-8</v>
      </c>
    </row>
    <row r="49" spans="1:3" x14ac:dyDescent="0.5">
      <c r="A49">
        <v>1927</v>
      </c>
      <c r="B49" t="s">
        <v>1</v>
      </c>
      <c r="C49">
        <v>-20</v>
      </c>
    </row>
    <row r="50" spans="1:3" x14ac:dyDescent="0.5">
      <c r="A50">
        <v>1928</v>
      </c>
      <c r="B50" t="s">
        <v>1</v>
      </c>
      <c r="C50">
        <v>-20</v>
      </c>
    </row>
    <row r="51" spans="1:3" x14ac:dyDescent="0.5">
      <c r="A51">
        <v>1929</v>
      </c>
      <c r="B51" t="s">
        <v>1</v>
      </c>
      <c r="C51">
        <v>-35</v>
      </c>
    </row>
    <row r="52" spans="1:3" x14ac:dyDescent="0.5">
      <c r="A52">
        <v>1930</v>
      </c>
      <c r="B52" t="s">
        <v>1</v>
      </c>
      <c r="C52">
        <v>-13</v>
      </c>
    </row>
    <row r="53" spans="1:3" x14ac:dyDescent="0.5">
      <c r="A53">
        <v>1931</v>
      </c>
      <c r="B53" t="s">
        <v>1</v>
      </c>
      <c r="C53">
        <v>-9</v>
      </c>
    </row>
    <row r="54" spans="1:3" x14ac:dyDescent="0.5">
      <c r="A54">
        <v>1932</v>
      </c>
      <c r="B54" t="s">
        <v>1</v>
      </c>
      <c r="C54">
        <v>-16</v>
      </c>
    </row>
    <row r="55" spans="1:3" x14ac:dyDescent="0.5">
      <c r="A55">
        <v>1933</v>
      </c>
      <c r="B55" t="s">
        <v>1</v>
      </c>
      <c r="C55">
        <v>-28</v>
      </c>
    </row>
    <row r="56" spans="1:3" x14ac:dyDescent="0.5">
      <c r="A56">
        <v>1934</v>
      </c>
      <c r="B56" t="s">
        <v>1</v>
      </c>
      <c r="C56">
        <v>-13</v>
      </c>
    </row>
    <row r="57" spans="1:3" x14ac:dyDescent="0.5">
      <c r="A57">
        <v>1935</v>
      </c>
      <c r="B57" t="s">
        <v>1</v>
      </c>
      <c r="C57">
        <v>-19</v>
      </c>
    </row>
    <row r="58" spans="1:3" x14ac:dyDescent="0.5">
      <c r="A58">
        <v>1936</v>
      </c>
      <c r="B58" t="s">
        <v>1</v>
      </c>
      <c r="C58">
        <v>-14</v>
      </c>
    </row>
    <row r="59" spans="1:3" x14ac:dyDescent="0.5">
      <c r="A59">
        <v>1937</v>
      </c>
      <c r="B59" t="s">
        <v>1</v>
      </c>
      <c r="C59">
        <v>-1</v>
      </c>
    </row>
    <row r="60" spans="1:3" x14ac:dyDescent="0.5">
      <c r="A60">
        <v>1938</v>
      </c>
      <c r="B60" t="s">
        <v>1</v>
      </c>
      <c r="C60">
        <v>-2</v>
      </c>
    </row>
    <row r="61" spans="1:3" x14ac:dyDescent="0.5">
      <c r="A61">
        <v>1939</v>
      </c>
      <c r="B61" t="s">
        <v>1</v>
      </c>
      <c r="C61">
        <v>-3</v>
      </c>
    </row>
    <row r="62" spans="1:3" x14ac:dyDescent="0.5">
      <c r="A62">
        <v>1940</v>
      </c>
      <c r="B62" t="s">
        <v>1</v>
      </c>
      <c r="C62">
        <v>8</v>
      </c>
    </row>
    <row r="63" spans="1:3" x14ac:dyDescent="0.5">
      <c r="A63">
        <v>1941</v>
      </c>
      <c r="B63" t="s">
        <v>1</v>
      </c>
      <c r="C63">
        <v>13</v>
      </c>
    </row>
    <row r="64" spans="1:3" x14ac:dyDescent="0.5">
      <c r="A64">
        <v>1942</v>
      </c>
      <c r="B64" t="s">
        <v>1</v>
      </c>
      <c r="C64">
        <v>10</v>
      </c>
    </row>
    <row r="65" spans="1:3" x14ac:dyDescent="0.5">
      <c r="A65">
        <v>1943</v>
      </c>
      <c r="B65" t="s">
        <v>1</v>
      </c>
      <c r="C65">
        <v>14</v>
      </c>
    </row>
    <row r="66" spans="1:3" x14ac:dyDescent="0.5">
      <c r="A66">
        <v>1944</v>
      </c>
      <c r="B66" t="s">
        <v>1</v>
      </c>
      <c r="C66">
        <v>26</v>
      </c>
    </row>
    <row r="67" spans="1:3" x14ac:dyDescent="0.5">
      <c r="A67">
        <v>1945</v>
      </c>
      <c r="B67" t="s">
        <v>1</v>
      </c>
      <c r="C67">
        <v>13</v>
      </c>
    </row>
    <row r="68" spans="1:3" x14ac:dyDescent="0.5">
      <c r="A68">
        <v>1946</v>
      </c>
      <c r="B68" t="s">
        <v>1</v>
      </c>
      <c r="C68">
        <v>-3</v>
      </c>
    </row>
    <row r="69" spans="1:3" x14ac:dyDescent="0.5">
      <c r="A69">
        <v>1947</v>
      </c>
      <c r="B69" t="s">
        <v>1</v>
      </c>
      <c r="C69">
        <v>-3</v>
      </c>
    </row>
    <row r="70" spans="1:3" x14ac:dyDescent="0.5">
      <c r="A70">
        <v>1948</v>
      </c>
      <c r="B70" t="s">
        <v>1</v>
      </c>
      <c r="C70">
        <v>-9</v>
      </c>
    </row>
    <row r="71" spans="1:3" x14ac:dyDescent="0.5">
      <c r="A71">
        <v>1949</v>
      </c>
      <c r="B71" t="s">
        <v>1</v>
      </c>
      <c r="C71">
        <v>-9</v>
      </c>
    </row>
    <row r="72" spans="1:3" x14ac:dyDescent="0.5">
      <c r="A72">
        <v>1950</v>
      </c>
      <c r="B72" t="s">
        <v>1</v>
      </c>
      <c r="C72">
        <v>-18</v>
      </c>
    </row>
    <row r="73" spans="1:3" x14ac:dyDescent="0.5">
      <c r="A73">
        <v>1951</v>
      </c>
      <c r="B73" t="s">
        <v>1</v>
      </c>
      <c r="C73">
        <v>-7</v>
      </c>
    </row>
    <row r="74" spans="1:3" x14ac:dyDescent="0.5">
      <c r="A74">
        <v>1952</v>
      </c>
      <c r="B74" t="s">
        <v>1</v>
      </c>
      <c r="C74">
        <v>1</v>
      </c>
    </row>
    <row r="75" spans="1:3" x14ac:dyDescent="0.5">
      <c r="A75">
        <v>1953</v>
      </c>
      <c r="B75" t="s">
        <v>1</v>
      </c>
      <c r="C75">
        <v>8</v>
      </c>
    </row>
    <row r="76" spans="1:3" x14ac:dyDescent="0.5">
      <c r="A76">
        <v>1954</v>
      </c>
      <c r="B76" t="s">
        <v>1</v>
      </c>
      <c r="C76">
        <v>-12</v>
      </c>
    </row>
    <row r="77" spans="1:3" x14ac:dyDescent="0.5">
      <c r="A77">
        <v>1955</v>
      </c>
      <c r="B77" t="s">
        <v>1</v>
      </c>
      <c r="C77">
        <v>-14</v>
      </c>
    </row>
    <row r="78" spans="1:3" x14ac:dyDescent="0.5">
      <c r="A78">
        <v>1956</v>
      </c>
      <c r="B78" t="s">
        <v>1</v>
      </c>
      <c r="C78">
        <v>-20</v>
      </c>
    </row>
    <row r="79" spans="1:3" x14ac:dyDescent="0.5">
      <c r="A79">
        <v>1957</v>
      </c>
      <c r="B79" t="s">
        <v>1</v>
      </c>
      <c r="C79">
        <v>3</v>
      </c>
    </row>
    <row r="80" spans="1:3" x14ac:dyDescent="0.5">
      <c r="A80">
        <v>1958</v>
      </c>
      <c r="B80" t="s">
        <v>1</v>
      </c>
      <c r="C80">
        <v>6</v>
      </c>
    </row>
    <row r="81" spans="1:3" x14ac:dyDescent="0.5">
      <c r="A81">
        <v>1959</v>
      </c>
      <c r="B81" t="s">
        <v>1</v>
      </c>
      <c r="C81">
        <v>3</v>
      </c>
    </row>
    <row r="82" spans="1:3" x14ac:dyDescent="0.5">
      <c r="A82">
        <v>1960</v>
      </c>
      <c r="B82" t="s">
        <v>1</v>
      </c>
      <c r="C82">
        <v>-3</v>
      </c>
    </row>
    <row r="83" spans="1:3" x14ac:dyDescent="0.5">
      <c r="A83">
        <v>1961</v>
      </c>
      <c r="B83" t="s">
        <v>1</v>
      </c>
      <c r="C83">
        <v>5</v>
      </c>
    </row>
    <row r="84" spans="1:3" x14ac:dyDescent="0.5">
      <c r="A84">
        <v>1962</v>
      </c>
      <c r="B84" t="s">
        <v>1</v>
      </c>
      <c r="C84">
        <v>3</v>
      </c>
    </row>
    <row r="85" spans="1:3" x14ac:dyDescent="0.5">
      <c r="A85">
        <v>1963</v>
      </c>
      <c r="B85" t="s">
        <v>1</v>
      </c>
      <c r="C85">
        <v>6</v>
      </c>
    </row>
    <row r="86" spans="1:3" x14ac:dyDescent="0.5">
      <c r="A86">
        <v>1964</v>
      </c>
      <c r="B86" t="s">
        <v>1</v>
      </c>
      <c r="C86">
        <v>-20</v>
      </c>
    </row>
    <row r="87" spans="1:3" x14ac:dyDescent="0.5">
      <c r="A87">
        <v>1965</v>
      </c>
      <c r="B87" t="s">
        <v>1</v>
      </c>
      <c r="C87">
        <v>-10</v>
      </c>
    </row>
    <row r="88" spans="1:3" x14ac:dyDescent="0.5">
      <c r="A88">
        <v>1966</v>
      </c>
      <c r="B88" t="s">
        <v>1</v>
      </c>
      <c r="C88">
        <v>-5</v>
      </c>
    </row>
    <row r="89" spans="1:3" x14ac:dyDescent="0.5">
      <c r="A89">
        <v>1967</v>
      </c>
      <c r="B89" t="s">
        <v>1</v>
      </c>
      <c r="C89">
        <v>-2</v>
      </c>
    </row>
    <row r="90" spans="1:3" x14ac:dyDescent="0.5">
      <c r="A90">
        <v>1968</v>
      </c>
      <c r="B90" t="s">
        <v>1</v>
      </c>
      <c r="C90">
        <v>-7</v>
      </c>
    </row>
    <row r="91" spans="1:3" x14ac:dyDescent="0.5">
      <c r="A91">
        <v>1969</v>
      </c>
      <c r="B91" t="s">
        <v>1</v>
      </c>
      <c r="C91">
        <v>6</v>
      </c>
    </row>
    <row r="92" spans="1:3" x14ac:dyDescent="0.5">
      <c r="A92">
        <v>1970</v>
      </c>
      <c r="B92" t="s">
        <v>1</v>
      </c>
      <c r="C92">
        <v>3</v>
      </c>
    </row>
    <row r="93" spans="1:3" x14ac:dyDescent="0.5">
      <c r="A93">
        <v>1971</v>
      </c>
      <c r="B93" t="s">
        <v>1</v>
      </c>
      <c r="C93">
        <v>-9</v>
      </c>
    </row>
    <row r="94" spans="1:3" x14ac:dyDescent="0.5">
      <c r="A94">
        <v>1972</v>
      </c>
      <c r="B94" t="s">
        <v>1</v>
      </c>
      <c r="C94">
        <v>1</v>
      </c>
    </row>
    <row r="95" spans="1:3" x14ac:dyDescent="0.5">
      <c r="A95">
        <v>1973</v>
      </c>
      <c r="B95" t="s">
        <v>1</v>
      </c>
      <c r="C95">
        <v>15</v>
      </c>
    </row>
    <row r="96" spans="1:3" x14ac:dyDescent="0.5">
      <c r="A96">
        <v>1974</v>
      </c>
      <c r="B96" t="s">
        <v>1</v>
      </c>
      <c r="C96">
        <v>-8</v>
      </c>
    </row>
    <row r="97" spans="1:3" x14ac:dyDescent="0.5">
      <c r="A97">
        <v>1975</v>
      </c>
      <c r="B97" t="s">
        <v>1</v>
      </c>
      <c r="C97">
        <v>-1</v>
      </c>
    </row>
    <row r="98" spans="1:3" x14ac:dyDescent="0.5">
      <c r="A98">
        <v>1976</v>
      </c>
      <c r="B98" t="s">
        <v>1</v>
      </c>
      <c r="C98">
        <v>-11</v>
      </c>
    </row>
    <row r="99" spans="1:3" x14ac:dyDescent="0.5">
      <c r="A99">
        <v>1977</v>
      </c>
      <c r="B99" t="s">
        <v>1</v>
      </c>
      <c r="C99">
        <v>18</v>
      </c>
    </row>
    <row r="100" spans="1:3" x14ac:dyDescent="0.5">
      <c r="A100">
        <v>1978</v>
      </c>
      <c r="B100" t="s">
        <v>1</v>
      </c>
      <c r="C100">
        <v>7</v>
      </c>
    </row>
    <row r="101" spans="1:3" x14ac:dyDescent="0.5">
      <c r="A101">
        <v>1979</v>
      </c>
      <c r="B101" t="s">
        <v>1</v>
      </c>
      <c r="C101">
        <v>17</v>
      </c>
    </row>
    <row r="102" spans="1:3" x14ac:dyDescent="0.5">
      <c r="A102">
        <v>1980</v>
      </c>
      <c r="B102" t="s">
        <v>1</v>
      </c>
      <c r="C102">
        <v>28</v>
      </c>
    </row>
    <row r="103" spans="1:3" x14ac:dyDescent="0.5">
      <c r="A103">
        <v>1981</v>
      </c>
      <c r="B103" t="s">
        <v>1</v>
      </c>
      <c r="C103">
        <v>33</v>
      </c>
    </row>
    <row r="104" spans="1:3" x14ac:dyDescent="0.5">
      <c r="A104">
        <v>1982</v>
      </c>
      <c r="B104" t="s">
        <v>1</v>
      </c>
      <c r="C104">
        <v>13</v>
      </c>
    </row>
    <row r="105" spans="1:3" x14ac:dyDescent="0.5">
      <c r="A105">
        <v>1983</v>
      </c>
      <c r="B105" t="s">
        <v>1</v>
      </c>
      <c r="C105">
        <v>31</v>
      </c>
    </row>
    <row r="106" spans="1:3" x14ac:dyDescent="0.5">
      <c r="A106">
        <v>1984</v>
      </c>
      <c r="B106" t="s">
        <v>1</v>
      </c>
      <c r="C106">
        <v>16</v>
      </c>
    </row>
    <row r="107" spans="1:3" x14ac:dyDescent="0.5">
      <c r="A107">
        <v>1985</v>
      </c>
      <c r="B107" t="s">
        <v>1</v>
      </c>
      <c r="C107">
        <v>12</v>
      </c>
    </row>
    <row r="108" spans="1:3" x14ac:dyDescent="0.5">
      <c r="A108">
        <v>1986</v>
      </c>
      <c r="B108" t="s">
        <v>1</v>
      </c>
      <c r="C108">
        <v>19</v>
      </c>
    </row>
    <row r="109" spans="1:3" x14ac:dyDescent="0.5">
      <c r="A109">
        <v>1987</v>
      </c>
      <c r="B109" t="s">
        <v>1</v>
      </c>
      <c r="C109">
        <v>34</v>
      </c>
    </row>
    <row r="110" spans="1:3" x14ac:dyDescent="0.5">
      <c r="A110">
        <v>1988</v>
      </c>
      <c r="B110" t="s">
        <v>1</v>
      </c>
      <c r="C110">
        <v>40</v>
      </c>
    </row>
    <row r="111" spans="1:3" x14ac:dyDescent="0.5">
      <c r="A111">
        <v>1989</v>
      </c>
      <c r="B111" t="s">
        <v>1</v>
      </c>
      <c r="C111">
        <v>29</v>
      </c>
    </row>
    <row r="112" spans="1:3" x14ac:dyDescent="0.5">
      <c r="A112">
        <v>1990</v>
      </c>
      <c r="B112" t="s">
        <v>1</v>
      </c>
      <c r="C112">
        <v>44</v>
      </c>
    </row>
    <row r="113" spans="1:3" x14ac:dyDescent="0.5">
      <c r="A113">
        <v>1991</v>
      </c>
      <c r="B113" t="s">
        <v>1</v>
      </c>
      <c r="C113">
        <v>42</v>
      </c>
    </row>
    <row r="114" spans="1:3" x14ac:dyDescent="0.5">
      <c r="A114">
        <v>1992</v>
      </c>
      <c r="B114" t="s">
        <v>1</v>
      </c>
      <c r="C114">
        <v>23</v>
      </c>
    </row>
    <row r="115" spans="1:3" x14ac:dyDescent="0.5">
      <c r="A115">
        <v>1993</v>
      </c>
      <c r="B115" t="s">
        <v>1</v>
      </c>
      <c r="C115">
        <v>24</v>
      </c>
    </row>
    <row r="116" spans="1:3" x14ac:dyDescent="0.5">
      <c r="A116">
        <v>1994</v>
      </c>
      <c r="B116" t="s">
        <v>1</v>
      </c>
      <c r="C116">
        <v>32</v>
      </c>
    </row>
    <row r="117" spans="1:3" x14ac:dyDescent="0.5">
      <c r="A117">
        <v>1995</v>
      </c>
      <c r="B117" t="s">
        <v>1</v>
      </c>
      <c r="C117">
        <v>46</v>
      </c>
    </row>
    <row r="118" spans="1:3" x14ac:dyDescent="0.5">
      <c r="A118">
        <v>1996</v>
      </c>
      <c r="B118" t="s">
        <v>1</v>
      </c>
      <c r="C118">
        <v>35</v>
      </c>
    </row>
    <row r="119" spans="1:3" x14ac:dyDescent="0.5">
      <c r="A119">
        <v>1997</v>
      </c>
      <c r="B119" t="s">
        <v>1</v>
      </c>
      <c r="C119">
        <v>48</v>
      </c>
    </row>
    <row r="120" spans="1:3" x14ac:dyDescent="0.5">
      <c r="A120">
        <v>1998</v>
      </c>
      <c r="B120" t="s">
        <v>1</v>
      </c>
      <c r="C120">
        <v>63</v>
      </c>
    </row>
    <row r="121" spans="1:3" x14ac:dyDescent="0.5">
      <c r="A121">
        <v>1999</v>
      </c>
      <c r="B121" t="s">
        <v>1</v>
      </c>
      <c r="C121">
        <v>42</v>
      </c>
    </row>
    <row r="122" spans="1:3" x14ac:dyDescent="0.5">
      <c r="A122">
        <v>2000</v>
      </c>
      <c r="B122" t="s">
        <v>1</v>
      </c>
      <c r="C122">
        <v>42</v>
      </c>
    </row>
    <row r="123" spans="1:3" x14ac:dyDescent="0.5">
      <c r="A123">
        <v>2001</v>
      </c>
      <c r="B123" t="s">
        <v>1</v>
      </c>
      <c r="C123">
        <v>55</v>
      </c>
    </row>
    <row r="124" spans="1:3" x14ac:dyDescent="0.5">
      <c r="A124">
        <v>2002</v>
      </c>
      <c r="B124" t="s">
        <v>1</v>
      </c>
      <c r="C124">
        <v>63</v>
      </c>
    </row>
    <row r="125" spans="1:3" x14ac:dyDescent="0.5">
      <c r="A125">
        <v>2003</v>
      </c>
      <c r="B125" t="s">
        <v>1</v>
      </c>
      <c r="C125">
        <v>62</v>
      </c>
    </row>
    <row r="126" spans="1:3" x14ac:dyDescent="0.5">
      <c r="A126">
        <v>2004</v>
      </c>
      <c r="B126" t="s">
        <v>1</v>
      </c>
      <c r="C126">
        <v>55</v>
      </c>
    </row>
    <row r="127" spans="1:3" x14ac:dyDescent="0.5">
      <c r="A127">
        <v>2005</v>
      </c>
      <c r="B127" t="s">
        <v>1</v>
      </c>
      <c r="C127">
        <v>69</v>
      </c>
    </row>
    <row r="128" spans="1:3" x14ac:dyDescent="0.5">
      <c r="A128">
        <v>2006</v>
      </c>
      <c r="B128" t="s">
        <v>1</v>
      </c>
      <c r="C128">
        <v>64</v>
      </c>
    </row>
    <row r="129" spans="1:3" x14ac:dyDescent="0.5">
      <c r="A129">
        <v>2007</v>
      </c>
      <c r="B129" t="s">
        <v>1</v>
      </c>
      <c r="C129">
        <v>66</v>
      </c>
    </row>
    <row r="130" spans="1:3" x14ac:dyDescent="0.5">
      <c r="A130">
        <v>2008</v>
      </c>
      <c r="B130" t="s">
        <v>1</v>
      </c>
      <c r="C130">
        <v>54</v>
      </c>
    </row>
    <row r="131" spans="1:3" x14ac:dyDescent="0.5">
      <c r="A131">
        <v>2009</v>
      </c>
      <c r="B131" t="s">
        <v>1</v>
      </c>
      <c r="C131">
        <v>65</v>
      </c>
    </row>
    <row r="132" spans="1:3" x14ac:dyDescent="0.5">
      <c r="A132">
        <v>2010</v>
      </c>
      <c r="B132" t="s">
        <v>1</v>
      </c>
      <c r="C132">
        <v>71</v>
      </c>
    </row>
    <row r="133" spans="1:3" x14ac:dyDescent="0.5">
      <c r="A133">
        <v>2011</v>
      </c>
      <c r="B133" t="s">
        <v>1</v>
      </c>
      <c r="C133">
        <v>60</v>
      </c>
    </row>
    <row r="134" spans="1:3" x14ac:dyDescent="0.5">
      <c r="A134">
        <v>2012</v>
      </c>
      <c r="B134" t="s">
        <v>1</v>
      </c>
      <c r="C134">
        <v>63</v>
      </c>
    </row>
    <row r="135" spans="1:3" x14ac:dyDescent="0.5">
      <c r="A135">
        <v>2013</v>
      </c>
      <c r="B135" t="s">
        <v>1</v>
      </c>
      <c r="C135">
        <v>66</v>
      </c>
    </row>
    <row r="136" spans="1:3" x14ac:dyDescent="0.5">
      <c r="A136">
        <v>2014</v>
      </c>
      <c r="B136" t="s">
        <v>1</v>
      </c>
      <c r="C136">
        <v>75</v>
      </c>
    </row>
    <row r="137" spans="1:3" x14ac:dyDescent="0.5">
      <c r="A137">
        <v>1880</v>
      </c>
      <c r="B137" t="s">
        <v>2</v>
      </c>
      <c r="C137">
        <v>-33</v>
      </c>
    </row>
    <row r="138" spans="1:3" x14ac:dyDescent="0.5">
      <c r="A138">
        <v>1881</v>
      </c>
      <c r="B138" t="s">
        <v>2</v>
      </c>
      <c r="C138">
        <v>-18</v>
      </c>
    </row>
    <row r="139" spans="1:3" x14ac:dyDescent="0.5">
      <c r="A139">
        <v>1882</v>
      </c>
      <c r="B139" t="s">
        <v>2</v>
      </c>
      <c r="C139">
        <v>-17</v>
      </c>
    </row>
    <row r="140" spans="1:3" x14ac:dyDescent="0.5">
      <c r="A140">
        <v>1883</v>
      </c>
      <c r="B140" t="s">
        <v>2</v>
      </c>
      <c r="C140">
        <v>-30</v>
      </c>
    </row>
    <row r="141" spans="1:3" x14ac:dyDescent="0.5">
      <c r="A141">
        <v>1884</v>
      </c>
      <c r="B141" t="s">
        <v>2</v>
      </c>
      <c r="C141">
        <v>-42</v>
      </c>
    </row>
    <row r="142" spans="1:3" x14ac:dyDescent="0.5">
      <c r="A142">
        <v>1885</v>
      </c>
      <c r="B142" t="s">
        <v>2</v>
      </c>
      <c r="C142">
        <v>-41</v>
      </c>
    </row>
    <row r="143" spans="1:3" x14ac:dyDescent="0.5">
      <c r="A143">
        <v>1886</v>
      </c>
      <c r="B143" t="s">
        <v>2</v>
      </c>
      <c r="C143">
        <v>-39</v>
      </c>
    </row>
    <row r="144" spans="1:3" x14ac:dyDescent="0.5">
      <c r="A144">
        <v>1887</v>
      </c>
      <c r="B144" t="s">
        <v>2</v>
      </c>
      <c r="C144">
        <v>-37</v>
      </c>
    </row>
    <row r="145" spans="1:3" x14ac:dyDescent="0.5">
      <c r="A145">
        <v>1888</v>
      </c>
      <c r="B145" t="s">
        <v>2</v>
      </c>
      <c r="C145">
        <v>-22</v>
      </c>
    </row>
    <row r="146" spans="1:3" x14ac:dyDescent="0.5">
      <c r="A146">
        <v>1889</v>
      </c>
      <c r="B146" t="s">
        <v>2</v>
      </c>
      <c r="C146">
        <v>-16</v>
      </c>
    </row>
    <row r="147" spans="1:3" x14ac:dyDescent="0.5">
      <c r="A147">
        <v>1890</v>
      </c>
      <c r="B147" t="s">
        <v>2</v>
      </c>
      <c r="C147">
        <v>-40</v>
      </c>
    </row>
    <row r="148" spans="1:3" x14ac:dyDescent="0.5">
      <c r="A148">
        <v>1891</v>
      </c>
      <c r="B148" t="s">
        <v>2</v>
      </c>
      <c r="C148">
        <v>-23</v>
      </c>
    </row>
    <row r="149" spans="1:3" x14ac:dyDescent="0.5">
      <c r="A149">
        <v>1892</v>
      </c>
      <c r="B149" t="s">
        <v>2</v>
      </c>
      <c r="C149">
        <v>-30</v>
      </c>
    </row>
    <row r="150" spans="1:3" x14ac:dyDescent="0.5">
      <c r="A150">
        <v>1893</v>
      </c>
      <c r="B150" t="s">
        <v>2</v>
      </c>
      <c r="C150">
        <v>-39</v>
      </c>
    </row>
    <row r="151" spans="1:3" x14ac:dyDescent="0.5">
      <c r="A151">
        <v>1894</v>
      </c>
      <c r="B151" t="s">
        <v>2</v>
      </c>
      <c r="C151">
        <v>-37</v>
      </c>
    </row>
    <row r="152" spans="1:3" x14ac:dyDescent="0.5">
      <c r="A152">
        <v>1895</v>
      </c>
      <c r="B152" t="s">
        <v>2</v>
      </c>
      <c r="C152">
        <v>-28</v>
      </c>
    </row>
    <row r="153" spans="1:3" x14ac:dyDescent="0.5">
      <c r="A153">
        <v>1896</v>
      </c>
      <c r="B153" t="s">
        <v>2</v>
      </c>
      <c r="C153">
        <v>-20</v>
      </c>
    </row>
    <row r="154" spans="1:3" x14ac:dyDescent="0.5">
      <c r="A154">
        <v>1897</v>
      </c>
      <c r="B154" t="s">
        <v>2</v>
      </c>
      <c r="C154">
        <v>-13</v>
      </c>
    </row>
    <row r="155" spans="1:3" x14ac:dyDescent="0.5">
      <c r="A155">
        <v>1898</v>
      </c>
      <c r="B155" t="s">
        <v>2</v>
      </c>
      <c r="C155">
        <v>-28</v>
      </c>
    </row>
    <row r="156" spans="1:3" x14ac:dyDescent="0.5">
      <c r="A156">
        <v>1899</v>
      </c>
      <c r="B156" t="s">
        <v>2</v>
      </c>
      <c r="C156">
        <v>-17</v>
      </c>
    </row>
    <row r="157" spans="1:3" x14ac:dyDescent="0.5">
      <c r="A157">
        <v>1900</v>
      </c>
      <c r="B157" t="s">
        <v>2</v>
      </c>
      <c r="C157">
        <v>-3</v>
      </c>
    </row>
    <row r="158" spans="1:3" x14ac:dyDescent="0.5">
      <c r="A158">
        <v>1901</v>
      </c>
      <c r="B158" t="s">
        <v>2</v>
      </c>
      <c r="C158">
        <v>-8</v>
      </c>
    </row>
    <row r="159" spans="1:3" x14ac:dyDescent="0.5">
      <c r="A159">
        <v>1902</v>
      </c>
      <c r="B159" t="s">
        <v>2</v>
      </c>
      <c r="C159">
        <v>-29</v>
      </c>
    </row>
    <row r="160" spans="1:3" x14ac:dyDescent="0.5">
      <c r="A160">
        <v>1903</v>
      </c>
      <c r="B160" t="s">
        <v>2</v>
      </c>
      <c r="C160">
        <v>-35</v>
      </c>
    </row>
    <row r="161" spans="1:3" x14ac:dyDescent="0.5">
      <c r="A161">
        <v>1904</v>
      </c>
      <c r="B161" t="s">
        <v>2</v>
      </c>
      <c r="C161">
        <v>-45</v>
      </c>
    </row>
    <row r="162" spans="1:3" x14ac:dyDescent="0.5">
      <c r="A162">
        <v>1905</v>
      </c>
      <c r="B162" t="s">
        <v>2</v>
      </c>
      <c r="C162">
        <v>-28</v>
      </c>
    </row>
    <row r="163" spans="1:3" x14ac:dyDescent="0.5">
      <c r="A163">
        <v>1906</v>
      </c>
      <c r="B163" t="s">
        <v>2</v>
      </c>
      <c r="C163">
        <v>-20</v>
      </c>
    </row>
    <row r="164" spans="1:3" x14ac:dyDescent="0.5">
      <c r="A164">
        <v>1907</v>
      </c>
      <c r="B164" t="s">
        <v>2</v>
      </c>
      <c r="C164">
        <v>-46</v>
      </c>
    </row>
    <row r="165" spans="1:3" x14ac:dyDescent="0.5">
      <c r="A165">
        <v>1908</v>
      </c>
      <c r="B165" t="s">
        <v>2</v>
      </c>
      <c r="C165">
        <v>-45</v>
      </c>
    </row>
    <row r="166" spans="1:3" x14ac:dyDescent="0.5">
      <c r="A166">
        <v>1909</v>
      </c>
      <c r="B166" t="s">
        <v>2</v>
      </c>
      <c r="C166">
        <v>-48</v>
      </c>
    </row>
    <row r="167" spans="1:3" x14ac:dyDescent="0.5">
      <c r="A167">
        <v>1910</v>
      </c>
      <c r="B167" t="s">
        <v>2</v>
      </c>
      <c r="C167">
        <v>-43</v>
      </c>
    </row>
    <row r="168" spans="1:3" x14ac:dyDescent="0.5">
      <c r="A168">
        <v>1911</v>
      </c>
      <c r="B168" t="s">
        <v>2</v>
      </c>
      <c r="C168">
        <v>-41</v>
      </c>
    </row>
    <row r="169" spans="1:3" x14ac:dyDescent="0.5">
      <c r="A169">
        <v>1912</v>
      </c>
      <c r="B169" t="s">
        <v>2</v>
      </c>
      <c r="C169">
        <v>-47</v>
      </c>
    </row>
    <row r="170" spans="1:3" x14ac:dyDescent="0.5">
      <c r="A170">
        <v>1913</v>
      </c>
      <c r="B170" t="s">
        <v>2</v>
      </c>
      <c r="C170">
        <v>-42</v>
      </c>
    </row>
    <row r="171" spans="1:3" x14ac:dyDescent="0.5">
      <c r="A171">
        <v>1914</v>
      </c>
      <c r="B171" t="s">
        <v>2</v>
      </c>
      <c r="C171">
        <v>-18</v>
      </c>
    </row>
    <row r="172" spans="1:3" x14ac:dyDescent="0.5">
      <c r="A172">
        <v>1915</v>
      </c>
      <c r="B172" t="s">
        <v>2</v>
      </c>
      <c r="C172">
        <v>-9</v>
      </c>
    </row>
    <row r="173" spans="1:3" x14ac:dyDescent="0.5">
      <c r="A173">
        <v>1916</v>
      </c>
      <c r="B173" t="s">
        <v>2</v>
      </c>
      <c r="C173">
        <v>-35</v>
      </c>
    </row>
    <row r="174" spans="1:3" x14ac:dyDescent="0.5">
      <c r="A174">
        <v>1917</v>
      </c>
      <c r="B174" t="s">
        <v>2</v>
      </c>
      <c r="C174">
        <v>-52</v>
      </c>
    </row>
    <row r="175" spans="1:3" x14ac:dyDescent="0.5">
      <c r="A175">
        <v>1918</v>
      </c>
      <c r="B175" t="s">
        <v>2</v>
      </c>
      <c r="C175">
        <v>-32</v>
      </c>
    </row>
    <row r="176" spans="1:3" x14ac:dyDescent="0.5">
      <c r="A176">
        <v>1919</v>
      </c>
      <c r="B176" t="s">
        <v>2</v>
      </c>
      <c r="C176">
        <v>-32</v>
      </c>
    </row>
    <row r="177" spans="1:3" x14ac:dyDescent="0.5">
      <c r="A177">
        <v>1920</v>
      </c>
      <c r="B177" t="s">
        <v>2</v>
      </c>
      <c r="C177">
        <v>-26</v>
      </c>
    </row>
    <row r="178" spans="1:3" x14ac:dyDescent="0.5">
      <c r="A178">
        <v>1921</v>
      </c>
      <c r="B178" t="s">
        <v>2</v>
      </c>
      <c r="C178">
        <v>-8</v>
      </c>
    </row>
    <row r="179" spans="1:3" x14ac:dyDescent="0.5">
      <c r="A179">
        <v>1922</v>
      </c>
      <c r="B179" t="s">
        <v>2</v>
      </c>
      <c r="C179">
        <v>-25</v>
      </c>
    </row>
    <row r="180" spans="1:3" x14ac:dyDescent="0.5">
      <c r="A180">
        <v>1923</v>
      </c>
      <c r="B180" t="s">
        <v>2</v>
      </c>
      <c r="C180">
        <v>-18</v>
      </c>
    </row>
    <row r="181" spans="1:3" x14ac:dyDescent="0.5">
      <c r="A181">
        <v>1924</v>
      </c>
      <c r="B181" t="s">
        <v>2</v>
      </c>
      <c r="C181">
        <v>-15</v>
      </c>
    </row>
    <row r="182" spans="1:3" x14ac:dyDescent="0.5">
      <c r="A182">
        <v>1925</v>
      </c>
      <c r="B182" t="s">
        <v>2</v>
      </c>
      <c r="C182">
        <v>-7</v>
      </c>
    </row>
    <row r="183" spans="1:3" x14ac:dyDescent="0.5">
      <c r="A183">
        <v>1926</v>
      </c>
      <c r="B183" t="s">
        <v>2</v>
      </c>
      <c r="C183">
        <v>4</v>
      </c>
    </row>
    <row r="184" spans="1:3" x14ac:dyDescent="0.5">
      <c r="A184">
        <v>1927</v>
      </c>
      <c r="B184" t="s">
        <v>2</v>
      </c>
      <c r="C184">
        <v>-10</v>
      </c>
    </row>
    <row r="185" spans="1:3" x14ac:dyDescent="0.5">
      <c r="A185">
        <v>1928</v>
      </c>
      <c r="B185" t="s">
        <v>2</v>
      </c>
      <c r="C185">
        <v>-7</v>
      </c>
    </row>
    <row r="186" spans="1:3" x14ac:dyDescent="0.5">
      <c r="A186">
        <v>1929</v>
      </c>
      <c r="B186" t="s">
        <v>2</v>
      </c>
      <c r="C186">
        <v>-30</v>
      </c>
    </row>
    <row r="187" spans="1:3" x14ac:dyDescent="0.5">
      <c r="A187">
        <v>1930</v>
      </c>
      <c r="B187" t="s">
        <v>2</v>
      </c>
      <c r="C187">
        <v>2</v>
      </c>
    </row>
    <row r="188" spans="1:3" x14ac:dyDescent="0.5">
      <c r="A188">
        <v>1931</v>
      </c>
      <c r="B188" t="s">
        <v>2</v>
      </c>
      <c r="C188">
        <v>5</v>
      </c>
    </row>
    <row r="189" spans="1:3" x14ac:dyDescent="0.5">
      <c r="A189">
        <v>1932</v>
      </c>
      <c r="B189" t="s">
        <v>2</v>
      </c>
      <c r="C189">
        <v>-3</v>
      </c>
    </row>
    <row r="190" spans="1:3" x14ac:dyDescent="0.5">
      <c r="A190">
        <v>1933</v>
      </c>
      <c r="B190" t="s">
        <v>2</v>
      </c>
      <c r="C190">
        <v>-24</v>
      </c>
    </row>
    <row r="191" spans="1:3" x14ac:dyDescent="0.5">
      <c r="A191">
        <v>1934</v>
      </c>
      <c r="B191" t="s">
        <v>2</v>
      </c>
      <c r="C191">
        <v>1</v>
      </c>
    </row>
    <row r="192" spans="1:3" x14ac:dyDescent="0.5">
      <c r="A192">
        <v>1935</v>
      </c>
      <c r="B192" t="s">
        <v>2</v>
      </c>
      <c r="C192">
        <v>-8</v>
      </c>
    </row>
    <row r="193" spans="1:3" x14ac:dyDescent="0.5">
      <c r="A193">
        <v>1936</v>
      </c>
      <c r="B193" t="s">
        <v>2</v>
      </c>
      <c r="C193">
        <v>-3</v>
      </c>
    </row>
    <row r="194" spans="1:3" x14ac:dyDescent="0.5">
      <c r="A194">
        <v>1937</v>
      </c>
      <c r="B194" t="s">
        <v>2</v>
      </c>
      <c r="C194">
        <v>13</v>
      </c>
    </row>
    <row r="195" spans="1:3" x14ac:dyDescent="0.5">
      <c r="A195">
        <v>1938</v>
      </c>
      <c r="B195" t="s">
        <v>2</v>
      </c>
      <c r="C195">
        <v>14</v>
      </c>
    </row>
    <row r="196" spans="1:3" x14ac:dyDescent="0.5">
      <c r="A196">
        <v>1939</v>
      </c>
      <c r="B196" t="s">
        <v>2</v>
      </c>
      <c r="C196">
        <v>7</v>
      </c>
    </row>
    <row r="197" spans="1:3" x14ac:dyDescent="0.5">
      <c r="A197">
        <v>1940</v>
      </c>
      <c r="B197" t="s">
        <v>2</v>
      </c>
      <c r="C197">
        <v>14</v>
      </c>
    </row>
    <row r="198" spans="1:3" x14ac:dyDescent="0.5">
      <c r="A198">
        <v>1941</v>
      </c>
      <c r="B198" t="s">
        <v>2</v>
      </c>
      <c r="C198">
        <v>16</v>
      </c>
    </row>
    <row r="199" spans="1:3" x14ac:dyDescent="0.5">
      <c r="A199">
        <v>1942</v>
      </c>
      <c r="B199" t="s">
        <v>2</v>
      </c>
      <c r="C199">
        <v>14</v>
      </c>
    </row>
    <row r="200" spans="1:3" x14ac:dyDescent="0.5">
      <c r="A200">
        <v>1943</v>
      </c>
      <c r="B200" t="s">
        <v>2</v>
      </c>
      <c r="C200">
        <v>21</v>
      </c>
    </row>
    <row r="201" spans="1:3" x14ac:dyDescent="0.5">
      <c r="A201">
        <v>1944</v>
      </c>
      <c r="B201" t="s">
        <v>2</v>
      </c>
      <c r="C201">
        <v>28</v>
      </c>
    </row>
    <row r="202" spans="1:3" x14ac:dyDescent="0.5">
      <c r="A202">
        <v>1945</v>
      </c>
      <c r="B202" t="s">
        <v>2</v>
      </c>
      <c r="C202">
        <v>9</v>
      </c>
    </row>
    <row r="203" spans="1:3" x14ac:dyDescent="0.5">
      <c r="A203">
        <v>1946</v>
      </c>
      <c r="B203" t="s">
        <v>2</v>
      </c>
      <c r="C203">
        <v>7</v>
      </c>
    </row>
    <row r="204" spans="1:3" x14ac:dyDescent="0.5">
      <c r="A204">
        <v>1947</v>
      </c>
      <c r="B204" t="s">
        <v>2</v>
      </c>
      <c r="C204">
        <v>5</v>
      </c>
    </row>
    <row r="205" spans="1:3" x14ac:dyDescent="0.5">
      <c r="A205">
        <v>1948</v>
      </c>
      <c r="B205" t="s">
        <v>2</v>
      </c>
      <c r="C205">
        <v>0</v>
      </c>
    </row>
    <row r="206" spans="1:3" x14ac:dyDescent="0.5">
      <c r="A206">
        <v>1949</v>
      </c>
      <c r="B206" t="s">
        <v>2</v>
      </c>
      <c r="C206">
        <v>-2</v>
      </c>
    </row>
    <row r="207" spans="1:3" x14ac:dyDescent="0.5">
      <c r="A207">
        <v>1950</v>
      </c>
      <c r="B207" t="s">
        <v>2</v>
      </c>
      <c r="C207">
        <v>-16</v>
      </c>
    </row>
    <row r="208" spans="1:3" x14ac:dyDescent="0.5">
      <c r="A208">
        <v>1951</v>
      </c>
      <c r="B208" t="s">
        <v>2</v>
      </c>
      <c r="C208">
        <v>5</v>
      </c>
    </row>
    <row r="209" spans="1:3" x14ac:dyDescent="0.5">
      <c r="A209">
        <v>1952</v>
      </c>
      <c r="B209" t="s">
        <v>2</v>
      </c>
      <c r="C209">
        <v>5</v>
      </c>
    </row>
    <row r="210" spans="1:3" x14ac:dyDescent="0.5">
      <c r="A210">
        <v>1953</v>
      </c>
      <c r="B210" t="s">
        <v>2</v>
      </c>
      <c r="C210">
        <v>22</v>
      </c>
    </row>
    <row r="211" spans="1:3" x14ac:dyDescent="0.5">
      <c r="A211">
        <v>1954</v>
      </c>
      <c r="B211" t="s">
        <v>2</v>
      </c>
      <c r="C211">
        <v>-4</v>
      </c>
    </row>
    <row r="212" spans="1:3" x14ac:dyDescent="0.5">
      <c r="A212">
        <v>1955</v>
      </c>
      <c r="B212" t="s">
        <v>2</v>
      </c>
      <c r="C212">
        <v>-9</v>
      </c>
    </row>
    <row r="213" spans="1:3" x14ac:dyDescent="0.5">
      <c r="A213">
        <v>1956</v>
      </c>
      <c r="B213" t="s">
        <v>2</v>
      </c>
      <c r="C213">
        <v>-25</v>
      </c>
    </row>
    <row r="214" spans="1:3" x14ac:dyDescent="0.5">
      <c r="A214">
        <v>1957</v>
      </c>
      <c r="B214" t="s">
        <v>2</v>
      </c>
      <c r="C214">
        <v>4</v>
      </c>
    </row>
    <row r="215" spans="1:3" x14ac:dyDescent="0.5">
      <c r="A215">
        <v>1958</v>
      </c>
      <c r="B215" t="s">
        <v>2</v>
      </c>
      <c r="C215">
        <v>16</v>
      </c>
    </row>
    <row r="216" spans="1:3" x14ac:dyDescent="0.5">
      <c r="A216">
        <v>1959</v>
      </c>
      <c r="B216" t="s">
        <v>2</v>
      </c>
      <c r="C216">
        <v>11</v>
      </c>
    </row>
    <row r="217" spans="1:3" x14ac:dyDescent="0.5">
      <c r="A217">
        <v>1960</v>
      </c>
      <c r="B217" t="s">
        <v>2</v>
      </c>
      <c r="C217">
        <v>8</v>
      </c>
    </row>
    <row r="218" spans="1:3" x14ac:dyDescent="0.5">
      <c r="A218">
        <v>1961</v>
      </c>
      <c r="B218" t="s">
        <v>2</v>
      </c>
      <c r="C218">
        <v>8</v>
      </c>
    </row>
    <row r="219" spans="1:3" x14ac:dyDescent="0.5">
      <c r="A219">
        <v>1962</v>
      </c>
      <c r="B219" t="s">
        <v>2</v>
      </c>
      <c r="C219">
        <v>14</v>
      </c>
    </row>
    <row r="220" spans="1:3" x14ac:dyDescent="0.5">
      <c r="A220">
        <v>1963</v>
      </c>
      <c r="B220" t="s">
        <v>2</v>
      </c>
      <c r="C220">
        <v>15</v>
      </c>
    </row>
    <row r="221" spans="1:3" x14ac:dyDescent="0.5">
      <c r="A221">
        <v>1964</v>
      </c>
      <c r="B221" t="s">
        <v>2</v>
      </c>
      <c r="C221">
        <v>-20</v>
      </c>
    </row>
    <row r="222" spans="1:3" x14ac:dyDescent="0.5">
      <c r="A222">
        <v>1965</v>
      </c>
      <c r="B222" t="s">
        <v>2</v>
      </c>
      <c r="C222">
        <v>-13</v>
      </c>
    </row>
    <row r="223" spans="1:3" x14ac:dyDescent="0.5">
      <c r="A223">
        <v>1966</v>
      </c>
      <c r="B223" t="s">
        <v>2</v>
      </c>
      <c r="C223">
        <v>0</v>
      </c>
    </row>
    <row r="224" spans="1:3" x14ac:dyDescent="0.5">
      <c r="A224">
        <v>1967</v>
      </c>
      <c r="B224" t="s">
        <v>2</v>
      </c>
      <c r="C224">
        <v>3</v>
      </c>
    </row>
    <row r="225" spans="1:3" x14ac:dyDescent="0.5">
      <c r="A225">
        <v>1968</v>
      </c>
      <c r="B225" t="s">
        <v>2</v>
      </c>
      <c r="C225">
        <v>-5</v>
      </c>
    </row>
    <row r="226" spans="1:3" x14ac:dyDescent="0.5">
      <c r="A226">
        <v>1969</v>
      </c>
      <c r="B226" t="s">
        <v>2</v>
      </c>
      <c r="C226">
        <v>-2</v>
      </c>
    </row>
    <row r="227" spans="1:3" x14ac:dyDescent="0.5">
      <c r="A227">
        <v>1970</v>
      </c>
      <c r="B227" t="s">
        <v>2</v>
      </c>
      <c r="C227">
        <v>-3</v>
      </c>
    </row>
    <row r="228" spans="1:3" x14ac:dyDescent="0.5">
      <c r="A228">
        <v>1971</v>
      </c>
      <c r="B228" t="s">
        <v>2</v>
      </c>
      <c r="C228">
        <v>-15</v>
      </c>
    </row>
    <row r="229" spans="1:3" x14ac:dyDescent="0.5">
      <c r="A229">
        <v>1972</v>
      </c>
      <c r="B229" t="s">
        <v>2</v>
      </c>
      <c r="C229">
        <v>-18</v>
      </c>
    </row>
    <row r="230" spans="1:3" x14ac:dyDescent="0.5">
      <c r="A230">
        <v>1973</v>
      </c>
      <c r="B230" t="s">
        <v>2</v>
      </c>
      <c r="C230">
        <v>10</v>
      </c>
    </row>
    <row r="231" spans="1:3" x14ac:dyDescent="0.5">
      <c r="A231">
        <v>1974</v>
      </c>
      <c r="B231" t="s">
        <v>2</v>
      </c>
      <c r="C231">
        <v>-19</v>
      </c>
    </row>
    <row r="232" spans="1:3" x14ac:dyDescent="0.5">
      <c r="A232">
        <v>1975</v>
      </c>
      <c r="B232" t="s">
        <v>2</v>
      </c>
      <c r="C232">
        <v>-5</v>
      </c>
    </row>
    <row r="233" spans="1:3" x14ac:dyDescent="0.5">
      <c r="A233">
        <v>1976</v>
      </c>
      <c r="B233" t="s">
        <v>2</v>
      </c>
      <c r="C233">
        <v>-21</v>
      </c>
    </row>
    <row r="234" spans="1:3" x14ac:dyDescent="0.5">
      <c r="A234">
        <v>1977</v>
      </c>
      <c r="B234" t="s">
        <v>2</v>
      </c>
      <c r="C234">
        <v>12</v>
      </c>
    </row>
    <row r="235" spans="1:3" x14ac:dyDescent="0.5">
      <c r="A235">
        <v>1978</v>
      </c>
      <c r="B235" t="s">
        <v>2</v>
      </c>
      <c r="C235">
        <v>2</v>
      </c>
    </row>
    <row r="236" spans="1:3" x14ac:dyDescent="0.5">
      <c r="A236">
        <v>1979</v>
      </c>
      <c r="B236" t="s">
        <v>2</v>
      </c>
      <c r="C236">
        <v>8</v>
      </c>
    </row>
    <row r="237" spans="1:3" x14ac:dyDescent="0.5">
      <c r="A237">
        <v>1980</v>
      </c>
      <c r="B237" t="s">
        <v>2</v>
      </c>
      <c r="C237">
        <v>16</v>
      </c>
    </row>
    <row r="238" spans="1:3" x14ac:dyDescent="0.5">
      <c r="A238">
        <v>1981</v>
      </c>
      <c r="B238" t="s">
        <v>2</v>
      </c>
      <c r="C238">
        <v>39</v>
      </c>
    </row>
    <row r="239" spans="1:3" x14ac:dyDescent="0.5">
      <c r="A239">
        <v>1982</v>
      </c>
      <c r="B239" t="s">
        <v>2</v>
      </c>
      <c r="C239">
        <v>6</v>
      </c>
    </row>
    <row r="240" spans="1:3" x14ac:dyDescent="0.5">
      <c r="A240">
        <v>1983</v>
      </c>
      <c r="B240" t="s">
        <v>2</v>
      </c>
      <c r="C240">
        <v>26</v>
      </c>
    </row>
    <row r="241" spans="1:3" x14ac:dyDescent="0.5">
      <c r="A241">
        <v>1984</v>
      </c>
      <c r="B241" t="s">
        <v>2</v>
      </c>
      <c r="C241">
        <v>5</v>
      </c>
    </row>
    <row r="242" spans="1:3" x14ac:dyDescent="0.5">
      <c r="A242">
        <v>1985</v>
      </c>
      <c r="B242" t="s">
        <v>2</v>
      </c>
      <c r="C242">
        <v>0</v>
      </c>
    </row>
    <row r="243" spans="1:3" x14ac:dyDescent="0.5">
      <c r="A243">
        <v>1986</v>
      </c>
      <c r="B243" t="s">
        <v>2</v>
      </c>
      <c r="C243">
        <v>14</v>
      </c>
    </row>
    <row r="244" spans="1:3" x14ac:dyDescent="0.5">
      <c r="A244">
        <v>1987</v>
      </c>
      <c r="B244" t="s">
        <v>2</v>
      </c>
      <c r="C244">
        <v>27</v>
      </c>
    </row>
    <row r="245" spans="1:3" x14ac:dyDescent="0.5">
      <c r="A245">
        <v>1988</v>
      </c>
      <c r="B245" t="s">
        <v>2</v>
      </c>
      <c r="C245">
        <v>37</v>
      </c>
    </row>
    <row r="246" spans="1:3" x14ac:dyDescent="0.5">
      <c r="A246">
        <v>1989</v>
      </c>
      <c r="B246" t="s">
        <v>2</v>
      </c>
      <c r="C246">
        <v>29</v>
      </c>
    </row>
    <row r="247" spans="1:3" x14ac:dyDescent="0.5">
      <c r="A247">
        <v>1990</v>
      </c>
      <c r="B247" t="s">
        <v>2</v>
      </c>
      <c r="C247">
        <v>51</v>
      </c>
    </row>
    <row r="248" spans="1:3" x14ac:dyDescent="0.5">
      <c r="A248">
        <v>1991</v>
      </c>
      <c r="B248" t="s">
        <v>2</v>
      </c>
      <c r="C248">
        <v>41</v>
      </c>
    </row>
    <row r="249" spans="1:3" x14ac:dyDescent="0.5">
      <c r="A249">
        <v>1992</v>
      </c>
      <c r="B249" t="s">
        <v>2</v>
      </c>
      <c r="C249">
        <v>12</v>
      </c>
    </row>
    <row r="250" spans="1:3" x14ac:dyDescent="0.5">
      <c r="A250">
        <v>1993</v>
      </c>
      <c r="B250" t="s">
        <v>2</v>
      </c>
      <c r="C250">
        <v>20</v>
      </c>
    </row>
    <row r="251" spans="1:3" x14ac:dyDescent="0.5">
      <c r="A251">
        <v>1994</v>
      </c>
      <c r="B251" t="s">
        <v>2</v>
      </c>
      <c r="C251">
        <v>36</v>
      </c>
    </row>
    <row r="252" spans="1:3" x14ac:dyDescent="0.5">
      <c r="A252">
        <v>1995</v>
      </c>
      <c r="B252" t="s">
        <v>2</v>
      </c>
      <c r="C252">
        <v>58</v>
      </c>
    </row>
    <row r="253" spans="1:3" x14ac:dyDescent="0.5">
      <c r="A253">
        <v>1996</v>
      </c>
      <c r="B253" t="s">
        <v>2</v>
      </c>
      <c r="C253">
        <v>28</v>
      </c>
    </row>
    <row r="254" spans="1:3" x14ac:dyDescent="0.5">
      <c r="A254">
        <v>1997</v>
      </c>
      <c r="B254" t="s">
        <v>2</v>
      </c>
      <c r="C254">
        <v>53</v>
      </c>
    </row>
    <row r="255" spans="1:3" x14ac:dyDescent="0.5">
      <c r="A255">
        <v>1998</v>
      </c>
      <c r="B255" t="s">
        <v>2</v>
      </c>
      <c r="C255">
        <v>73</v>
      </c>
    </row>
    <row r="256" spans="1:3" x14ac:dyDescent="0.5">
      <c r="A256">
        <v>1999</v>
      </c>
      <c r="B256" t="s">
        <v>2</v>
      </c>
      <c r="C256">
        <v>52</v>
      </c>
    </row>
    <row r="257" spans="1:3" x14ac:dyDescent="0.5">
      <c r="A257">
        <v>2000</v>
      </c>
      <c r="B257" t="s">
        <v>2</v>
      </c>
      <c r="C257">
        <v>51</v>
      </c>
    </row>
    <row r="258" spans="1:3" x14ac:dyDescent="0.5">
      <c r="A258">
        <v>2001</v>
      </c>
      <c r="B258" t="s">
        <v>2</v>
      </c>
      <c r="C258">
        <v>64</v>
      </c>
    </row>
    <row r="259" spans="1:3" x14ac:dyDescent="0.5">
      <c r="A259">
        <v>2002</v>
      </c>
      <c r="B259" t="s">
        <v>2</v>
      </c>
      <c r="C259">
        <v>71</v>
      </c>
    </row>
    <row r="260" spans="1:3" x14ac:dyDescent="0.5">
      <c r="A260">
        <v>2003</v>
      </c>
      <c r="B260" t="s">
        <v>2</v>
      </c>
      <c r="C260">
        <v>72</v>
      </c>
    </row>
    <row r="261" spans="1:3" x14ac:dyDescent="0.5">
      <c r="A261">
        <v>2004</v>
      </c>
      <c r="B261" t="s">
        <v>2</v>
      </c>
      <c r="C261">
        <v>67</v>
      </c>
    </row>
    <row r="262" spans="1:3" x14ac:dyDescent="0.5">
      <c r="A262">
        <v>2005</v>
      </c>
      <c r="B262" t="s">
        <v>2</v>
      </c>
      <c r="C262">
        <v>84</v>
      </c>
    </row>
    <row r="263" spans="1:3" x14ac:dyDescent="0.5">
      <c r="A263">
        <v>2006</v>
      </c>
      <c r="B263" t="s">
        <v>2</v>
      </c>
      <c r="C263">
        <v>80</v>
      </c>
    </row>
    <row r="264" spans="1:3" x14ac:dyDescent="0.5">
      <c r="A264">
        <v>2007</v>
      </c>
      <c r="B264" t="s">
        <v>2</v>
      </c>
      <c r="C264">
        <v>83</v>
      </c>
    </row>
    <row r="265" spans="1:3" x14ac:dyDescent="0.5">
      <c r="A265">
        <v>2008</v>
      </c>
      <c r="B265" t="s">
        <v>2</v>
      </c>
      <c r="C265">
        <v>66</v>
      </c>
    </row>
    <row r="266" spans="1:3" x14ac:dyDescent="0.5">
      <c r="A266">
        <v>2009</v>
      </c>
      <c r="B266" t="s">
        <v>2</v>
      </c>
      <c r="C266">
        <v>71</v>
      </c>
    </row>
    <row r="267" spans="1:3" x14ac:dyDescent="0.5">
      <c r="A267">
        <v>2010</v>
      </c>
      <c r="B267" t="s">
        <v>2</v>
      </c>
      <c r="C267">
        <v>88</v>
      </c>
    </row>
    <row r="268" spans="1:3" x14ac:dyDescent="0.5">
      <c r="A268">
        <v>2011</v>
      </c>
      <c r="B268" t="s">
        <v>2</v>
      </c>
      <c r="C268">
        <v>71</v>
      </c>
    </row>
    <row r="269" spans="1:3" x14ac:dyDescent="0.5">
      <c r="A269">
        <v>2012</v>
      </c>
      <c r="B269" t="s">
        <v>2</v>
      </c>
      <c r="C269">
        <v>77</v>
      </c>
    </row>
    <row r="270" spans="1:3" x14ac:dyDescent="0.5">
      <c r="A270">
        <v>2013</v>
      </c>
      <c r="B270" t="s">
        <v>2</v>
      </c>
      <c r="C270">
        <v>76</v>
      </c>
    </row>
    <row r="271" spans="1:3" x14ac:dyDescent="0.5">
      <c r="A271">
        <v>2014</v>
      </c>
      <c r="B271" t="s">
        <v>2</v>
      </c>
      <c r="C271">
        <v>91</v>
      </c>
    </row>
    <row r="272" spans="1:3" x14ac:dyDescent="0.5">
      <c r="A272">
        <v>1880</v>
      </c>
      <c r="B272" t="s">
        <v>3</v>
      </c>
      <c r="C272">
        <v>-5</v>
      </c>
    </row>
    <row r="273" spans="1:3" x14ac:dyDescent="0.5">
      <c r="A273">
        <v>1881</v>
      </c>
      <c r="B273" t="s">
        <v>3</v>
      </c>
      <c r="C273">
        <v>-2</v>
      </c>
    </row>
    <row r="274" spans="1:3" x14ac:dyDescent="0.5">
      <c r="A274">
        <v>1882</v>
      </c>
      <c r="B274" t="s">
        <v>3</v>
      </c>
      <c r="C274">
        <v>-1</v>
      </c>
    </row>
    <row r="275" spans="1:3" x14ac:dyDescent="0.5">
      <c r="A275">
        <v>1883</v>
      </c>
      <c r="B275" t="s">
        <v>3</v>
      </c>
      <c r="C275">
        <v>-8</v>
      </c>
    </row>
    <row r="276" spans="1:3" x14ac:dyDescent="0.5">
      <c r="A276">
        <v>1884</v>
      </c>
      <c r="B276" t="s">
        <v>3</v>
      </c>
      <c r="C276">
        <v>-12</v>
      </c>
    </row>
    <row r="277" spans="1:3" x14ac:dyDescent="0.5">
      <c r="A277">
        <v>1885</v>
      </c>
      <c r="B277" t="s">
        <v>3</v>
      </c>
      <c r="C277">
        <v>-21</v>
      </c>
    </row>
    <row r="278" spans="1:3" x14ac:dyDescent="0.5">
      <c r="A278">
        <v>1886</v>
      </c>
      <c r="B278" t="s">
        <v>3</v>
      </c>
      <c r="C278">
        <v>-21</v>
      </c>
    </row>
    <row r="279" spans="1:3" x14ac:dyDescent="0.5">
      <c r="A279">
        <v>1887</v>
      </c>
      <c r="B279" t="s">
        <v>3</v>
      </c>
      <c r="C279">
        <v>-28</v>
      </c>
    </row>
    <row r="280" spans="1:3" x14ac:dyDescent="0.5">
      <c r="A280">
        <v>1888</v>
      </c>
      <c r="B280" t="s">
        <v>3</v>
      </c>
      <c r="C280">
        <v>-17</v>
      </c>
    </row>
    <row r="281" spans="1:3" x14ac:dyDescent="0.5">
      <c r="A281">
        <v>1889</v>
      </c>
      <c r="B281" t="s">
        <v>3</v>
      </c>
      <c r="C281">
        <v>-6</v>
      </c>
    </row>
    <row r="282" spans="1:3" x14ac:dyDescent="0.5">
      <c r="A282">
        <v>1890</v>
      </c>
      <c r="B282" t="s">
        <v>3</v>
      </c>
      <c r="C282">
        <v>-33</v>
      </c>
    </row>
    <row r="283" spans="1:3" x14ac:dyDescent="0.5">
      <c r="A283">
        <v>1891</v>
      </c>
      <c r="B283" t="s">
        <v>3</v>
      </c>
      <c r="C283">
        <v>-24</v>
      </c>
    </row>
    <row r="284" spans="1:3" x14ac:dyDescent="0.5">
      <c r="A284">
        <v>1892</v>
      </c>
      <c r="B284" t="s">
        <v>3</v>
      </c>
      <c r="C284">
        <v>-21</v>
      </c>
    </row>
    <row r="285" spans="1:3" x14ac:dyDescent="0.5">
      <c r="A285">
        <v>1893</v>
      </c>
      <c r="B285" t="s">
        <v>3</v>
      </c>
      <c r="C285">
        <v>-19</v>
      </c>
    </row>
    <row r="286" spans="1:3" x14ac:dyDescent="0.5">
      <c r="A286">
        <v>1894</v>
      </c>
      <c r="B286" t="s">
        <v>3</v>
      </c>
      <c r="C286">
        <v>-23</v>
      </c>
    </row>
    <row r="287" spans="1:3" x14ac:dyDescent="0.5">
      <c r="A287">
        <v>1895</v>
      </c>
      <c r="B287" t="s">
        <v>3</v>
      </c>
      <c r="C287">
        <v>-14</v>
      </c>
    </row>
    <row r="288" spans="1:3" x14ac:dyDescent="0.5">
      <c r="A288">
        <v>1896</v>
      </c>
      <c r="B288" t="s">
        <v>3</v>
      </c>
      <c r="C288">
        <v>-8</v>
      </c>
    </row>
    <row r="289" spans="1:3" x14ac:dyDescent="0.5">
      <c r="A289">
        <v>1897</v>
      </c>
      <c r="B289" t="s">
        <v>3</v>
      </c>
      <c r="C289">
        <v>-9</v>
      </c>
    </row>
    <row r="290" spans="1:3" x14ac:dyDescent="0.5">
      <c r="A290">
        <v>1898</v>
      </c>
      <c r="B290" t="s">
        <v>3</v>
      </c>
      <c r="C290">
        <v>-29</v>
      </c>
    </row>
    <row r="291" spans="1:3" x14ac:dyDescent="0.5">
      <c r="A291">
        <v>1899</v>
      </c>
      <c r="B291" t="s">
        <v>3</v>
      </c>
      <c r="C291">
        <v>-15</v>
      </c>
    </row>
    <row r="292" spans="1:3" x14ac:dyDescent="0.5">
      <c r="A292">
        <v>1900</v>
      </c>
      <c r="B292" t="s">
        <v>3</v>
      </c>
      <c r="C292">
        <v>-13</v>
      </c>
    </row>
    <row r="293" spans="1:3" x14ac:dyDescent="0.5">
      <c r="A293">
        <v>1901</v>
      </c>
      <c r="B293" t="s">
        <v>3</v>
      </c>
      <c r="C293">
        <v>-19</v>
      </c>
    </row>
    <row r="294" spans="1:3" x14ac:dyDescent="0.5">
      <c r="A294">
        <v>1902</v>
      </c>
      <c r="B294" t="s">
        <v>3</v>
      </c>
      <c r="C294">
        <v>-23</v>
      </c>
    </row>
    <row r="295" spans="1:3" x14ac:dyDescent="0.5">
      <c r="A295">
        <v>1903</v>
      </c>
      <c r="B295" t="s">
        <v>3</v>
      </c>
      <c r="C295">
        <v>-35</v>
      </c>
    </row>
    <row r="296" spans="1:3" x14ac:dyDescent="0.5">
      <c r="A296">
        <v>1904</v>
      </c>
      <c r="B296" t="s">
        <v>3</v>
      </c>
      <c r="C296">
        <v>-42</v>
      </c>
    </row>
    <row r="297" spans="1:3" x14ac:dyDescent="0.5">
      <c r="A297">
        <v>1905</v>
      </c>
      <c r="B297" t="s">
        <v>3</v>
      </c>
      <c r="C297">
        <v>-26</v>
      </c>
    </row>
    <row r="298" spans="1:3" x14ac:dyDescent="0.5">
      <c r="A298">
        <v>1906</v>
      </c>
      <c r="B298" t="s">
        <v>3</v>
      </c>
      <c r="C298">
        <v>-23</v>
      </c>
    </row>
    <row r="299" spans="1:3" x14ac:dyDescent="0.5">
      <c r="A299">
        <v>1907</v>
      </c>
      <c r="B299" t="s">
        <v>3</v>
      </c>
      <c r="C299">
        <v>-31</v>
      </c>
    </row>
    <row r="300" spans="1:3" x14ac:dyDescent="0.5">
      <c r="A300">
        <v>1908</v>
      </c>
      <c r="B300" t="s">
        <v>3</v>
      </c>
      <c r="C300">
        <v>-39</v>
      </c>
    </row>
    <row r="301" spans="1:3" x14ac:dyDescent="0.5">
      <c r="A301">
        <v>1909</v>
      </c>
      <c r="B301" t="s">
        <v>3</v>
      </c>
      <c r="C301">
        <v>-46</v>
      </c>
    </row>
    <row r="302" spans="1:3" x14ac:dyDescent="0.5">
      <c r="A302">
        <v>1910</v>
      </c>
      <c r="B302" t="s">
        <v>3</v>
      </c>
      <c r="C302">
        <v>-41</v>
      </c>
    </row>
    <row r="303" spans="1:3" x14ac:dyDescent="0.5">
      <c r="A303">
        <v>1911</v>
      </c>
      <c r="B303" t="s">
        <v>3</v>
      </c>
      <c r="C303">
        <v>-47</v>
      </c>
    </row>
    <row r="304" spans="1:3" x14ac:dyDescent="0.5">
      <c r="A304">
        <v>1912</v>
      </c>
      <c r="B304" t="s">
        <v>3</v>
      </c>
      <c r="C304">
        <v>-22</v>
      </c>
    </row>
    <row r="305" spans="1:3" x14ac:dyDescent="0.5">
      <c r="A305">
        <v>1913</v>
      </c>
      <c r="B305" t="s">
        <v>3</v>
      </c>
      <c r="C305">
        <v>-25</v>
      </c>
    </row>
    <row r="306" spans="1:3" x14ac:dyDescent="0.5">
      <c r="A306">
        <v>1914</v>
      </c>
      <c r="B306" t="s">
        <v>3</v>
      </c>
      <c r="C306">
        <v>-13</v>
      </c>
    </row>
    <row r="307" spans="1:3" x14ac:dyDescent="0.5">
      <c r="A307">
        <v>1915</v>
      </c>
      <c r="B307" t="s">
        <v>3</v>
      </c>
      <c r="C307">
        <v>-11</v>
      </c>
    </row>
    <row r="308" spans="1:3" x14ac:dyDescent="0.5">
      <c r="A308">
        <v>1916</v>
      </c>
      <c r="B308" t="s">
        <v>3</v>
      </c>
      <c r="C308">
        <v>-30</v>
      </c>
    </row>
    <row r="309" spans="1:3" x14ac:dyDescent="0.5">
      <c r="A309">
        <v>1917</v>
      </c>
      <c r="B309" t="s">
        <v>3</v>
      </c>
      <c r="C309">
        <v>-26</v>
      </c>
    </row>
    <row r="310" spans="1:3" x14ac:dyDescent="0.5">
      <c r="A310">
        <v>1918</v>
      </c>
      <c r="B310" t="s">
        <v>3</v>
      </c>
      <c r="C310">
        <v>-17</v>
      </c>
    </row>
    <row r="311" spans="1:3" x14ac:dyDescent="0.5">
      <c r="A311">
        <v>1919</v>
      </c>
      <c r="B311" t="s">
        <v>3</v>
      </c>
      <c r="C311">
        <v>-10</v>
      </c>
    </row>
    <row r="312" spans="1:3" x14ac:dyDescent="0.5">
      <c r="A312">
        <v>1920</v>
      </c>
      <c r="B312" t="s">
        <v>3</v>
      </c>
      <c r="C312">
        <v>-24</v>
      </c>
    </row>
    <row r="313" spans="1:3" x14ac:dyDescent="0.5">
      <c r="A313">
        <v>1921</v>
      </c>
      <c r="B313" t="s">
        <v>3</v>
      </c>
      <c r="C313">
        <v>-31</v>
      </c>
    </row>
    <row r="314" spans="1:3" x14ac:dyDescent="0.5">
      <c r="A314">
        <v>1922</v>
      </c>
      <c r="B314" t="s">
        <v>3</v>
      </c>
      <c r="C314">
        <v>-27</v>
      </c>
    </row>
    <row r="315" spans="1:3" x14ac:dyDescent="0.5">
      <c r="A315">
        <v>1923</v>
      </c>
      <c r="B315" t="s">
        <v>3</v>
      </c>
      <c r="C315">
        <v>-27</v>
      </c>
    </row>
    <row r="316" spans="1:3" x14ac:dyDescent="0.5">
      <c r="A316">
        <v>1924</v>
      </c>
      <c r="B316" t="s">
        <v>3</v>
      </c>
      <c r="C316">
        <v>-38</v>
      </c>
    </row>
    <row r="317" spans="1:3" x14ac:dyDescent="0.5">
      <c r="A317">
        <v>1925</v>
      </c>
      <c r="B317" t="s">
        <v>3</v>
      </c>
      <c r="C317">
        <v>-30</v>
      </c>
    </row>
    <row r="318" spans="1:3" x14ac:dyDescent="0.5">
      <c r="A318">
        <v>1926</v>
      </c>
      <c r="B318" t="s">
        <v>3</v>
      </c>
      <c r="C318">
        <v>-21</v>
      </c>
    </row>
    <row r="319" spans="1:3" x14ac:dyDescent="0.5">
      <c r="A319">
        <v>1927</v>
      </c>
      <c r="B319" t="s">
        <v>3</v>
      </c>
      <c r="C319">
        <v>-29</v>
      </c>
    </row>
    <row r="320" spans="1:3" x14ac:dyDescent="0.5">
      <c r="A320">
        <v>1928</v>
      </c>
      <c r="B320" t="s">
        <v>3</v>
      </c>
      <c r="C320">
        <v>-33</v>
      </c>
    </row>
    <row r="321" spans="1:3" x14ac:dyDescent="0.5">
      <c r="A321">
        <v>1929</v>
      </c>
      <c r="B321" t="s">
        <v>3</v>
      </c>
      <c r="C321">
        <v>-40</v>
      </c>
    </row>
    <row r="322" spans="1:3" x14ac:dyDescent="0.5">
      <c r="A322">
        <v>1930</v>
      </c>
      <c r="B322" t="s">
        <v>3</v>
      </c>
      <c r="C322">
        <v>-29</v>
      </c>
    </row>
    <row r="323" spans="1:3" x14ac:dyDescent="0.5">
      <c r="A323">
        <v>1931</v>
      </c>
      <c r="B323" t="s">
        <v>3</v>
      </c>
      <c r="C323">
        <v>-23</v>
      </c>
    </row>
    <row r="324" spans="1:3" x14ac:dyDescent="0.5">
      <c r="A324">
        <v>1932</v>
      </c>
      <c r="B324" t="s">
        <v>3</v>
      </c>
      <c r="C324">
        <v>-30</v>
      </c>
    </row>
    <row r="325" spans="1:3" x14ac:dyDescent="0.5">
      <c r="A325">
        <v>1933</v>
      </c>
      <c r="B325" t="s">
        <v>3</v>
      </c>
      <c r="C325">
        <v>-31</v>
      </c>
    </row>
    <row r="326" spans="1:3" x14ac:dyDescent="0.5">
      <c r="A326">
        <v>1934</v>
      </c>
      <c r="B326" t="s">
        <v>3</v>
      </c>
      <c r="C326">
        <v>-27</v>
      </c>
    </row>
    <row r="327" spans="1:3" x14ac:dyDescent="0.5">
      <c r="A327">
        <v>1935</v>
      </c>
      <c r="B327" t="s">
        <v>3</v>
      </c>
      <c r="C327">
        <v>-29</v>
      </c>
    </row>
    <row r="328" spans="1:3" x14ac:dyDescent="0.5">
      <c r="A328">
        <v>1936</v>
      </c>
      <c r="B328" t="s">
        <v>3</v>
      </c>
      <c r="C328">
        <v>-26</v>
      </c>
    </row>
    <row r="329" spans="1:3" x14ac:dyDescent="0.5">
      <c r="A329">
        <v>1937</v>
      </c>
      <c r="B329" t="s">
        <v>3</v>
      </c>
      <c r="C329">
        <v>-16</v>
      </c>
    </row>
    <row r="330" spans="1:3" x14ac:dyDescent="0.5">
      <c r="A330">
        <v>1938</v>
      </c>
      <c r="B330" t="s">
        <v>3</v>
      </c>
      <c r="C330">
        <v>-18</v>
      </c>
    </row>
    <row r="331" spans="1:3" x14ac:dyDescent="0.5">
      <c r="A331">
        <v>1939</v>
      </c>
      <c r="B331" t="s">
        <v>3</v>
      </c>
      <c r="C331">
        <v>-13</v>
      </c>
    </row>
    <row r="332" spans="1:3" x14ac:dyDescent="0.5">
      <c r="A332">
        <v>1940</v>
      </c>
      <c r="B332" t="s">
        <v>3</v>
      </c>
      <c r="C332">
        <v>3</v>
      </c>
    </row>
    <row r="333" spans="1:3" x14ac:dyDescent="0.5">
      <c r="A333">
        <v>1941</v>
      </c>
      <c r="B333" t="s">
        <v>3</v>
      </c>
      <c r="C333">
        <v>10</v>
      </c>
    </row>
    <row r="334" spans="1:3" x14ac:dyDescent="0.5">
      <c r="A334">
        <v>1942</v>
      </c>
      <c r="B334" t="s">
        <v>3</v>
      </c>
      <c r="C334">
        <v>6</v>
      </c>
    </row>
    <row r="335" spans="1:3" x14ac:dyDescent="0.5">
      <c r="A335">
        <v>1943</v>
      </c>
      <c r="B335" t="s">
        <v>3</v>
      </c>
      <c r="C335">
        <v>7</v>
      </c>
    </row>
    <row r="336" spans="1:3" x14ac:dyDescent="0.5">
      <c r="A336">
        <v>1944</v>
      </c>
      <c r="B336" t="s">
        <v>3</v>
      </c>
      <c r="C336">
        <v>24</v>
      </c>
    </row>
    <row r="337" spans="1:3" x14ac:dyDescent="0.5">
      <c r="A337">
        <v>1945</v>
      </c>
      <c r="B337" t="s">
        <v>3</v>
      </c>
      <c r="C337">
        <v>16</v>
      </c>
    </row>
    <row r="338" spans="1:3" x14ac:dyDescent="0.5">
      <c r="A338">
        <v>1946</v>
      </c>
      <c r="B338" t="s">
        <v>3</v>
      </c>
      <c r="C338">
        <v>-12</v>
      </c>
    </row>
    <row r="339" spans="1:3" x14ac:dyDescent="0.5">
      <c r="A339">
        <v>1947</v>
      </c>
      <c r="B339" t="s">
        <v>3</v>
      </c>
      <c r="C339">
        <v>-12</v>
      </c>
    </row>
    <row r="340" spans="1:3" x14ac:dyDescent="0.5">
      <c r="A340">
        <v>1948</v>
      </c>
      <c r="B340" t="s">
        <v>3</v>
      </c>
      <c r="C340">
        <v>-18</v>
      </c>
    </row>
    <row r="341" spans="1:3" x14ac:dyDescent="0.5">
      <c r="A341">
        <v>1949</v>
      </c>
      <c r="B341" t="s">
        <v>3</v>
      </c>
      <c r="C341">
        <v>-16</v>
      </c>
    </row>
    <row r="342" spans="1:3" x14ac:dyDescent="0.5">
      <c r="A342">
        <v>1950</v>
      </c>
      <c r="B342" t="s">
        <v>3</v>
      </c>
      <c r="C342">
        <v>-19</v>
      </c>
    </row>
    <row r="343" spans="1:3" x14ac:dyDescent="0.5">
      <c r="A343">
        <v>1951</v>
      </c>
      <c r="B343" t="s">
        <v>3</v>
      </c>
      <c r="C343">
        <v>-18</v>
      </c>
    </row>
    <row r="344" spans="1:3" x14ac:dyDescent="0.5">
      <c r="A344">
        <v>1952</v>
      </c>
      <c r="B344" t="s">
        <v>3</v>
      </c>
      <c r="C344">
        <v>-3</v>
      </c>
    </row>
    <row r="345" spans="1:3" x14ac:dyDescent="0.5">
      <c r="A345">
        <v>1953</v>
      </c>
      <c r="B345" t="s">
        <v>3</v>
      </c>
      <c r="C345">
        <v>-6</v>
      </c>
    </row>
    <row r="346" spans="1:3" x14ac:dyDescent="0.5">
      <c r="A346">
        <v>1954</v>
      </c>
      <c r="B346" t="s">
        <v>3</v>
      </c>
      <c r="C346">
        <v>-20</v>
      </c>
    </row>
    <row r="347" spans="1:3" x14ac:dyDescent="0.5">
      <c r="A347">
        <v>1955</v>
      </c>
      <c r="B347" t="s">
        <v>3</v>
      </c>
      <c r="C347">
        <v>-19</v>
      </c>
    </row>
    <row r="348" spans="1:3" x14ac:dyDescent="0.5">
      <c r="A348">
        <v>1956</v>
      </c>
      <c r="B348" t="s">
        <v>3</v>
      </c>
      <c r="C348">
        <v>-14</v>
      </c>
    </row>
    <row r="349" spans="1:3" x14ac:dyDescent="0.5">
      <c r="A349">
        <v>1957</v>
      </c>
      <c r="B349" t="s">
        <v>3</v>
      </c>
      <c r="C349">
        <v>3</v>
      </c>
    </row>
    <row r="350" spans="1:3" x14ac:dyDescent="0.5">
      <c r="A350">
        <v>1958</v>
      </c>
      <c r="B350" t="s">
        <v>3</v>
      </c>
      <c r="C350">
        <v>-5</v>
      </c>
    </row>
    <row r="351" spans="1:3" x14ac:dyDescent="0.5">
      <c r="A351">
        <v>1959</v>
      </c>
      <c r="B351" t="s">
        <v>3</v>
      </c>
      <c r="C351">
        <v>-4</v>
      </c>
    </row>
    <row r="352" spans="1:3" x14ac:dyDescent="0.5">
      <c r="A352">
        <v>1960</v>
      </c>
      <c r="B352" t="s">
        <v>3</v>
      </c>
      <c r="C352">
        <v>-13</v>
      </c>
    </row>
    <row r="353" spans="1:3" x14ac:dyDescent="0.5">
      <c r="A353">
        <v>1961</v>
      </c>
      <c r="B353" t="s">
        <v>3</v>
      </c>
      <c r="C353">
        <v>3</v>
      </c>
    </row>
    <row r="354" spans="1:3" x14ac:dyDescent="0.5">
      <c r="A354">
        <v>1962</v>
      </c>
      <c r="B354" t="s">
        <v>3</v>
      </c>
      <c r="C354">
        <v>-9</v>
      </c>
    </row>
    <row r="355" spans="1:3" x14ac:dyDescent="0.5">
      <c r="A355">
        <v>1963</v>
      </c>
      <c r="B355" t="s">
        <v>3</v>
      </c>
      <c r="C355">
        <v>-3</v>
      </c>
    </row>
    <row r="356" spans="1:3" x14ac:dyDescent="0.5">
      <c r="A356">
        <v>1964</v>
      </c>
      <c r="B356" t="s">
        <v>3</v>
      </c>
      <c r="C356">
        <v>-21</v>
      </c>
    </row>
    <row r="357" spans="1:3" x14ac:dyDescent="0.5">
      <c r="A357">
        <v>1965</v>
      </c>
      <c r="B357" t="s">
        <v>3</v>
      </c>
      <c r="C357">
        <v>-7</v>
      </c>
    </row>
    <row r="358" spans="1:3" x14ac:dyDescent="0.5">
      <c r="A358">
        <v>1966</v>
      </c>
      <c r="B358" t="s">
        <v>3</v>
      </c>
      <c r="C358">
        <v>-10</v>
      </c>
    </row>
    <row r="359" spans="1:3" x14ac:dyDescent="0.5">
      <c r="A359">
        <v>1967</v>
      </c>
      <c r="B359" t="s">
        <v>3</v>
      </c>
      <c r="C359">
        <v>-8</v>
      </c>
    </row>
    <row r="360" spans="1:3" x14ac:dyDescent="0.5">
      <c r="A360">
        <v>1968</v>
      </c>
      <c r="B360" t="s">
        <v>3</v>
      </c>
      <c r="C360">
        <v>-9</v>
      </c>
    </row>
    <row r="361" spans="1:3" x14ac:dyDescent="0.5">
      <c r="A361">
        <v>1969</v>
      </c>
      <c r="B361" t="s">
        <v>3</v>
      </c>
      <c r="C361">
        <v>14</v>
      </c>
    </row>
    <row r="362" spans="1:3" x14ac:dyDescent="0.5">
      <c r="A362">
        <v>1970</v>
      </c>
      <c r="B362" t="s">
        <v>3</v>
      </c>
      <c r="C362">
        <v>9</v>
      </c>
    </row>
    <row r="363" spans="1:3" x14ac:dyDescent="0.5">
      <c r="A363">
        <v>1971</v>
      </c>
      <c r="B363" t="s">
        <v>3</v>
      </c>
      <c r="C363">
        <v>-3</v>
      </c>
    </row>
    <row r="364" spans="1:3" x14ac:dyDescent="0.5">
      <c r="A364">
        <v>1972</v>
      </c>
      <c r="B364" t="s">
        <v>3</v>
      </c>
      <c r="C364">
        <v>20</v>
      </c>
    </row>
    <row r="365" spans="1:3" x14ac:dyDescent="0.5">
      <c r="A365">
        <v>1973</v>
      </c>
      <c r="B365" t="s">
        <v>3</v>
      </c>
      <c r="C365">
        <v>20</v>
      </c>
    </row>
    <row r="366" spans="1:3" x14ac:dyDescent="0.5">
      <c r="A366">
        <v>1974</v>
      </c>
      <c r="B366" t="s">
        <v>3</v>
      </c>
      <c r="C366">
        <v>4</v>
      </c>
    </row>
    <row r="367" spans="1:3" x14ac:dyDescent="0.5">
      <c r="A367">
        <v>1975</v>
      </c>
      <c r="B367" t="s">
        <v>3</v>
      </c>
      <c r="C367">
        <v>2</v>
      </c>
    </row>
    <row r="368" spans="1:3" x14ac:dyDescent="0.5">
      <c r="A368">
        <v>1976</v>
      </c>
      <c r="B368" t="s">
        <v>3</v>
      </c>
      <c r="C368">
        <v>-2</v>
      </c>
    </row>
    <row r="369" spans="1:3" x14ac:dyDescent="0.5">
      <c r="A369">
        <v>1977</v>
      </c>
      <c r="B369" t="s">
        <v>3</v>
      </c>
      <c r="C369">
        <v>24</v>
      </c>
    </row>
    <row r="370" spans="1:3" x14ac:dyDescent="0.5">
      <c r="A370">
        <v>1978</v>
      </c>
      <c r="B370" t="s">
        <v>3</v>
      </c>
      <c r="C370">
        <v>12</v>
      </c>
    </row>
    <row r="371" spans="1:3" x14ac:dyDescent="0.5">
      <c r="A371">
        <v>1979</v>
      </c>
      <c r="B371" t="s">
        <v>3</v>
      </c>
      <c r="C371">
        <v>26</v>
      </c>
    </row>
    <row r="372" spans="1:3" x14ac:dyDescent="0.5">
      <c r="A372">
        <v>1980</v>
      </c>
      <c r="B372" t="s">
        <v>3</v>
      </c>
      <c r="C372">
        <v>39</v>
      </c>
    </row>
    <row r="373" spans="1:3" x14ac:dyDescent="0.5">
      <c r="A373">
        <v>1981</v>
      </c>
      <c r="B373" t="s">
        <v>3</v>
      </c>
      <c r="C373">
        <v>27</v>
      </c>
    </row>
    <row r="374" spans="1:3" x14ac:dyDescent="0.5">
      <c r="A374">
        <v>1982</v>
      </c>
      <c r="B374" t="s">
        <v>3</v>
      </c>
      <c r="C374">
        <v>21</v>
      </c>
    </row>
    <row r="375" spans="1:3" x14ac:dyDescent="0.5">
      <c r="A375">
        <v>1983</v>
      </c>
      <c r="B375" t="s">
        <v>3</v>
      </c>
      <c r="C375">
        <v>35</v>
      </c>
    </row>
    <row r="376" spans="1:3" x14ac:dyDescent="0.5">
      <c r="A376">
        <v>1984</v>
      </c>
      <c r="B376" t="s">
        <v>3</v>
      </c>
      <c r="C376">
        <v>27</v>
      </c>
    </row>
    <row r="377" spans="1:3" x14ac:dyDescent="0.5">
      <c r="A377">
        <v>1985</v>
      </c>
      <c r="B377" t="s">
        <v>3</v>
      </c>
      <c r="C377">
        <v>25</v>
      </c>
    </row>
    <row r="378" spans="1:3" x14ac:dyDescent="0.5">
      <c r="A378">
        <v>1986</v>
      </c>
      <c r="B378" t="s">
        <v>3</v>
      </c>
      <c r="C378">
        <v>25</v>
      </c>
    </row>
    <row r="379" spans="1:3" x14ac:dyDescent="0.5">
      <c r="A379">
        <v>1987</v>
      </c>
      <c r="B379" t="s">
        <v>3</v>
      </c>
      <c r="C379">
        <v>41</v>
      </c>
    </row>
    <row r="380" spans="1:3" x14ac:dyDescent="0.5">
      <c r="A380">
        <v>1988</v>
      </c>
      <c r="B380" t="s">
        <v>3</v>
      </c>
      <c r="C380">
        <v>43</v>
      </c>
    </row>
    <row r="381" spans="1:3" x14ac:dyDescent="0.5">
      <c r="A381">
        <v>1989</v>
      </c>
      <c r="B381" t="s">
        <v>3</v>
      </c>
      <c r="C381">
        <v>29</v>
      </c>
    </row>
    <row r="382" spans="1:3" x14ac:dyDescent="0.5">
      <c r="A382">
        <v>1990</v>
      </c>
      <c r="B382" t="s">
        <v>3</v>
      </c>
      <c r="C382">
        <v>36</v>
      </c>
    </row>
    <row r="383" spans="1:3" x14ac:dyDescent="0.5">
      <c r="A383">
        <v>1991</v>
      </c>
      <c r="B383" t="s">
        <v>3</v>
      </c>
      <c r="C383">
        <v>44</v>
      </c>
    </row>
    <row r="384" spans="1:3" x14ac:dyDescent="0.5">
      <c r="A384">
        <v>1992</v>
      </c>
      <c r="B384" t="s">
        <v>3</v>
      </c>
      <c r="C384">
        <v>33</v>
      </c>
    </row>
    <row r="385" spans="1:3" x14ac:dyDescent="0.5">
      <c r="A385">
        <v>1993</v>
      </c>
      <c r="B385" t="s">
        <v>3</v>
      </c>
      <c r="C385">
        <v>29</v>
      </c>
    </row>
    <row r="386" spans="1:3" x14ac:dyDescent="0.5">
      <c r="A386">
        <v>1994</v>
      </c>
      <c r="B386" t="s">
        <v>3</v>
      </c>
      <c r="C386">
        <v>27</v>
      </c>
    </row>
    <row r="387" spans="1:3" x14ac:dyDescent="0.5">
      <c r="A387">
        <v>1995</v>
      </c>
      <c r="B387" t="s">
        <v>3</v>
      </c>
      <c r="C387">
        <v>34</v>
      </c>
    </row>
    <row r="388" spans="1:3" x14ac:dyDescent="0.5">
      <c r="A388">
        <v>1996</v>
      </c>
      <c r="B388" t="s">
        <v>3</v>
      </c>
      <c r="C388">
        <v>42</v>
      </c>
    </row>
    <row r="389" spans="1:3" x14ac:dyDescent="0.5">
      <c r="A389">
        <v>1997</v>
      </c>
      <c r="B389" t="s">
        <v>3</v>
      </c>
      <c r="C389">
        <v>42</v>
      </c>
    </row>
    <row r="390" spans="1:3" x14ac:dyDescent="0.5">
      <c r="A390">
        <v>1998</v>
      </c>
      <c r="B390" t="s">
        <v>3</v>
      </c>
      <c r="C390">
        <v>54</v>
      </c>
    </row>
    <row r="391" spans="1:3" x14ac:dyDescent="0.5">
      <c r="A391">
        <v>1999</v>
      </c>
      <c r="B391" t="s">
        <v>3</v>
      </c>
      <c r="C391">
        <v>32</v>
      </c>
    </row>
    <row r="392" spans="1:3" x14ac:dyDescent="0.5">
      <c r="A392">
        <v>2000</v>
      </c>
      <c r="B392" t="s">
        <v>3</v>
      </c>
      <c r="C392">
        <v>33</v>
      </c>
    </row>
    <row r="393" spans="1:3" x14ac:dyDescent="0.5">
      <c r="A393">
        <v>2001</v>
      </c>
      <c r="B393" t="s">
        <v>3</v>
      </c>
      <c r="C393">
        <v>46</v>
      </c>
    </row>
    <row r="394" spans="1:3" x14ac:dyDescent="0.5">
      <c r="A394">
        <v>2002</v>
      </c>
      <c r="B394" t="s">
        <v>3</v>
      </c>
      <c r="C394">
        <v>56</v>
      </c>
    </row>
    <row r="395" spans="1:3" x14ac:dyDescent="0.5">
      <c r="A395">
        <v>2003</v>
      </c>
      <c r="B395" t="s">
        <v>3</v>
      </c>
      <c r="C395">
        <v>52</v>
      </c>
    </row>
    <row r="396" spans="1:3" x14ac:dyDescent="0.5">
      <c r="A396">
        <v>2004</v>
      </c>
      <c r="B396" t="s">
        <v>3</v>
      </c>
      <c r="C396">
        <v>42</v>
      </c>
    </row>
    <row r="397" spans="1:3" x14ac:dyDescent="0.5">
      <c r="A397">
        <v>2005</v>
      </c>
      <c r="B397" t="s">
        <v>3</v>
      </c>
      <c r="C397">
        <v>55</v>
      </c>
    </row>
    <row r="398" spans="1:3" x14ac:dyDescent="0.5">
      <c r="A398">
        <v>2006</v>
      </c>
      <c r="B398" t="s">
        <v>3</v>
      </c>
      <c r="C398">
        <v>47</v>
      </c>
    </row>
    <row r="399" spans="1:3" x14ac:dyDescent="0.5">
      <c r="A399">
        <v>2007</v>
      </c>
      <c r="B399" t="s">
        <v>3</v>
      </c>
      <c r="C399">
        <v>49</v>
      </c>
    </row>
    <row r="400" spans="1:3" x14ac:dyDescent="0.5">
      <c r="A400">
        <v>2008</v>
      </c>
      <c r="B400" t="s">
        <v>3</v>
      </c>
      <c r="C400">
        <v>42</v>
      </c>
    </row>
    <row r="401" spans="1:3" x14ac:dyDescent="0.5">
      <c r="A401">
        <v>2009</v>
      </c>
      <c r="B401" t="s">
        <v>3</v>
      </c>
      <c r="C401">
        <v>59</v>
      </c>
    </row>
    <row r="402" spans="1:3" x14ac:dyDescent="0.5">
      <c r="A402">
        <v>2010</v>
      </c>
      <c r="B402" t="s">
        <v>3</v>
      </c>
      <c r="C402">
        <v>55</v>
      </c>
    </row>
    <row r="403" spans="1:3" x14ac:dyDescent="0.5">
      <c r="A403">
        <v>2011</v>
      </c>
      <c r="B403" t="s">
        <v>3</v>
      </c>
      <c r="C403">
        <v>50</v>
      </c>
    </row>
    <row r="404" spans="1:3" x14ac:dyDescent="0.5">
      <c r="A404">
        <v>2012</v>
      </c>
      <c r="B404" t="s">
        <v>3</v>
      </c>
      <c r="C404">
        <v>50</v>
      </c>
    </row>
    <row r="405" spans="1:3" x14ac:dyDescent="0.5">
      <c r="A405">
        <v>2013</v>
      </c>
      <c r="B405" t="s">
        <v>3</v>
      </c>
      <c r="C405">
        <v>56</v>
      </c>
    </row>
    <row r="406" spans="1:3" x14ac:dyDescent="0.5">
      <c r="A406">
        <v>2014</v>
      </c>
      <c r="B406" t="s">
        <v>3</v>
      </c>
      <c r="C406">
        <v>58</v>
      </c>
    </row>
    <row r="407" spans="1:3" x14ac:dyDescent="0.5">
      <c r="A407">
        <v>1880</v>
      </c>
      <c r="B407" t="s">
        <v>4</v>
      </c>
      <c r="C407">
        <v>-38</v>
      </c>
    </row>
    <row r="408" spans="1:3" x14ac:dyDescent="0.5">
      <c r="A408">
        <v>1881</v>
      </c>
      <c r="B408" t="s">
        <v>4</v>
      </c>
      <c r="C408">
        <v>-27</v>
      </c>
    </row>
    <row r="409" spans="1:3" x14ac:dyDescent="0.5">
      <c r="A409">
        <v>1882</v>
      </c>
      <c r="B409" t="s">
        <v>4</v>
      </c>
      <c r="C409">
        <v>-21</v>
      </c>
    </row>
    <row r="410" spans="1:3" x14ac:dyDescent="0.5">
      <c r="A410">
        <v>1883</v>
      </c>
      <c r="B410" t="s">
        <v>4</v>
      </c>
      <c r="C410">
        <v>-34</v>
      </c>
    </row>
    <row r="411" spans="1:3" x14ac:dyDescent="0.5">
      <c r="A411">
        <v>1884</v>
      </c>
      <c r="B411" t="s">
        <v>4</v>
      </c>
      <c r="C411">
        <v>-56</v>
      </c>
    </row>
    <row r="412" spans="1:3" x14ac:dyDescent="0.5">
      <c r="A412">
        <v>1885</v>
      </c>
      <c r="B412" t="s">
        <v>4</v>
      </c>
      <c r="C412">
        <v>-61</v>
      </c>
    </row>
    <row r="413" spans="1:3" x14ac:dyDescent="0.5">
      <c r="A413">
        <v>1886</v>
      </c>
      <c r="B413" t="s">
        <v>4</v>
      </c>
      <c r="C413">
        <v>-49</v>
      </c>
    </row>
    <row r="414" spans="1:3" x14ac:dyDescent="0.5">
      <c r="A414">
        <v>1887</v>
      </c>
      <c r="B414" t="s">
        <v>4</v>
      </c>
      <c r="C414">
        <v>-46</v>
      </c>
    </row>
    <row r="415" spans="1:3" x14ac:dyDescent="0.5">
      <c r="A415">
        <v>1888</v>
      </c>
      <c r="B415" t="s">
        <v>4</v>
      </c>
      <c r="C415">
        <v>-42</v>
      </c>
    </row>
    <row r="416" spans="1:3" x14ac:dyDescent="0.5">
      <c r="A416">
        <v>1889</v>
      </c>
      <c r="B416" t="s">
        <v>4</v>
      </c>
      <c r="C416">
        <v>-25</v>
      </c>
    </row>
    <row r="417" spans="1:3" x14ac:dyDescent="0.5">
      <c r="A417">
        <v>1890</v>
      </c>
      <c r="B417" t="s">
        <v>4</v>
      </c>
      <c r="C417">
        <v>-44</v>
      </c>
    </row>
    <row r="418" spans="1:3" x14ac:dyDescent="0.5">
      <c r="A418">
        <v>1891</v>
      </c>
      <c r="B418" t="s">
        <v>4</v>
      </c>
      <c r="C418">
        <v>-33</v>
      </c>
    </row>
    <row r="419" spans="1:3" x14ac:dyDescent="0.5">
      <c r="A419">
        <v>1892</v>
      </c>
      <c r="B419" t="s">
        <v>4</v>
      </c>
      <c r="C419">
        <v>-29</v>
      </c>
    </row>
    <row r="420" spans="1:3" x14ac:dyDescent="0.5">
      <c r="A420">
        <v>1893</v>
      </c>
      <c r="B420" t="s">
        <v>4</v>
      </c>
      <c r="C420">
        <v>-37</v>
      </c>
    </row>
    <row r="421" spans="1:3" x14ac:dyDescent="0.5">
      <c r="A421">
        <v>1894</v>
      </c>
      <c r="B421" t="s">
        <v>4</v>
      </c>
      <c r="C421">
        <v>-26</v>
      </c>
    </row>
    <row r="422" spans="1:3" x14ac:dyDescent="0.5">
      <c r="A422">
        <v>1895</v>
      </c>
      <c r="B422" t="s">
        <v>4</v>
      </c>
      <c r="C422">
        <v>-34</v>
      </c>
    </row>
    <row r="423" spans="1:3" x14ac:dyDescent="0.5">
      <c r="A423">
        <v>1896</v>
      </c>
      <c r="B423" t="s">
        <v>4</v>
      </c>
      <c r="C423">
        <v>-33</v>
      </c>
    </row>
    <row r="424" spans="1:3" x14ac:dyDescent="0.5">
      <c r="A424">
        <v>1897</v>
      </c>
      <c r="B424" t="s">
        <v>4</v>
      </c>
      <c r="C424">
        <v>-30</v>
      </c>
    </row>
    <row r="425" spans="1:3" x14ac:dyDescent="0.5">
      <c r="A425">
        <v>1898</v>
      </c>
      <c r="B425" t="s">
        <v>4</v>
      </c>
      <c r="C425">
        <v>-28</v>
      </c>
    </row>
    <row r="426" spans="1:3" x14ac:dyDescent="0.5">
      <c r="A426">
        <v>1899</v>
      </c>
      <c r="B426" t="s">
        <v>4</v>
      </c>
      <c r="C426">
        <v>-18</v>
      </c>
    </row>
    <row r="427" spans="1:3" x14ac:dyDescent="0.5">
      <c r="A427">
        <v>1900</v>
      </c>
      <c r="B427" t="s">
        <v>4</v>
      </c>
      <c r="C427">
        <v>-12</v>
      </c>
    </row>
    <row r="428" spans="1:3" x14ac:dyDescent="0.5">
      <c r="A428">
        <v>1901</v>
      </c>
      <c r="B428" t="s">
        <v>4</v>
      </c>
      <c r="C428">
        <v>-10</v>
      </c>
    </row>
    <row r="429" spans="1:3" x14ac:dyDescent="0.5">
      <c r="A429">
        <v>1902</v>
      </c>
      <c r="B429" t="s">
        <v>4</v>
      </c>
      <c r="C429">
        <v>-47</v>
      </c>
    </row>
    <row r="430" spans="1:3" x14ac:dyDescent="0.5">
      <c r="A430">
        <v>1903</v>
      </c>
      <c r="B430" t="s">
        <v>4</v>
      </c>
      <c r="C430">
        <v>-39</v>
      </c>
    </row>
    <row r="431" spans="1:3" x14ac:dyDescent="0.5">
      <c r="A431">
        <v>1904</v>
      </c>
      <c r="B431" t="s">
        <v>4</v>
      </c>
      <c r="C431">
        <v>-46</v>
      </c>
    </row>
    <row r="432" spans="1:3" x14ac:dyDescent="0.5">
      <c r="A432">
        <v>1905</v>
      </c>
      <c r="B432" t="s">
        <v>4</v>
      </c>
      <c r="C432">
        <v>-37</v>
      </c>
    </row>
    <row r="433" spans="1:3" x14ac:dyDescent="0.5">
      <c r="A433">
        <v>1906</v>
      </c>
      <c r="B433" t="s">
        <v>4</v>
      </c>
      <c r="C433">
        <v>-19</v>
      </c>
    </row>
    <row r="434" spans="1:3" x14ac:dyDescent="0.5">
      <c r="A434">
        <v>1907</v>
      </c>
      <c r="B434" t="s">
        <v>4</v>
      </c>
      <c r="C434">
        <v>-56</v>
      </c>
    </row>
    <row r="435" spans="1:3" x14ac:dyDescent="0.5">
      <c r="A435">
        <v>1908</v>
      </c>
      <c r="B435" t="s">
        <v>4</v>
      </c>
      <c r="C435">
        <v>-46</v>
      </c>
    </row>
    <row r="436" spans="1:3" x14ac:dyDescent="0.5">
      <c r="A436">
        <v>1909</v>
      </c>
      <c r="B436" t="s">
        <v>4</v>
      </c>
      <c r="C436">
        <v>-47</v>
      </c>
    </row>
    <row r="437" spans="1:3" x14ac:dyDescent="0.5">
      <c r="A437">
        <v>1910</v>
      </c>
      <c r="B437" t="s">
        <v>4</v>
      </c>
      <c r="C437">
        <v>-36</v>
      </c>
    </row>
    <row r="438" spans="1:3" x14ac:dyDescent="0.5">
      <c r="A438">
        <v>1911</v>
      </c>
      <c r="B438" t="s">
        <v>4</v>
      </c>
      <c r="C438">
        <v>-37</v>
      </c>
    </row>
    <row r="439" spans="1:3" x14ac:dyDescent="0.5">
      <c r="A439">
        <v>1912</v>
      </c>
      <c r="B439" t="s">
        <v>4</v>
      </c>
      <c r="C439">
        <v>-57</v>
      </c>
    </row>
    <row r="440" spans="1:3" x14ac:dyDescent="0.5">
      <c r="A440">
        <v>1913</v>
      </c>
      <c r="B440" t="s">
        <v>4</v>
      </c>
      <c r="C440">
        <v>-40</v>
      </c>
    </row>
    <row r="441" spans="1:3" x14ac:dyDescent="0.5">
      <c r="A441">
        <v>1914</v>
      </c>
      <c r="B441" t="s">
        <v>4</v>
      </c>
      <c r="C441">
        <v>-22</v>
      </c>
    </row>
    <row r="442" spans="1:3" x14ac:dyDescent="0.5">
      <c r="A442">
        <v>1915</v>
      </c>
      <c r="B442" t="s">
        <v>4</v>
      </c>
      <c r="C442">
        <v>-16</v>
      </c>
    </row>
    <row r="443" spans="1:3" x14ac:dyDescent="0.5">
      <c r="A443">
        <v>1916</v>
      </c>
      <c r="B443" t="s">
        <v>4</v>
      </c>
      <c r="C443">
        <v>-27</v>
      </c>
    </row>
    <row r="444" spans="1:3" x14ac:dyDescent="0.5">
      <c r="A444">
        <v>1917</v>
      </c>
      <c r="B444" t="s">
        <v>4</v>
      </c>
      <c r="C444">
        <v>-40</v>
      </c>
    </row>
    <row r="445" spans="1:3" x14ac:dyDescent="0.5">
      <c r="A445">
        <v>1918</v>
      </c>
      <c r="B445" t="s">
        <v>4</v>
      </c>
      <c r="C445">
        <v>-32</v>
      </c>
    </row>
    <row r="446" spans="1:3" x14ac:dyDescent="0.5">
      <c r="A446">
        <v>1919</v>
      </c>
      <c r="B446" t="s">
        <v>4</v>
      </c>
      <c r="C446">
        <v>-39</v>
      </c>
    </row>
    <row r="447" spans="1:3" x14ac:dyDescent="0.5">
      <c r="A447">
        <v>1920</v>
      </c>
      <c r="B447" t="s">
        <v>4</v>
      </c>
      <c r="C447">
        <v>-16</v>
      </c>
    </row>
    <row r="448" spans="1:3" x14ac:dyDescent="0.5">
      <c r="A448">
        <v>1921</v>
      </c>
      <c r="B448" t="s">
        <v>4</v>
      </c>
      <c r="C448">
        <v>7</v>
      </c>
    </row>
    <row r="449" spans="1:3" x14ac:dyDescent="0.5">
      <c r="A449">
        <v>1922</v>
      </c>
      <c r="B449" t="s">
        <v>4</v>
      </c>
      <c r="C449">
        <v>-18</v>
      </c>
    </row>
    <row r="450" spans="1:3" x14ac:dyDescent="0.5">
      <c r="A450">
        <v>1923</v>
      </c>
      <c r="B450" t="s">
        <v>4</v>
      </c>
      <c r="C450">
        <v>-7</v>
      </c>
    </row>
    <row r="451" spans="1:3" x14ac:dyDescent="0.5">
      <c r="A451">
        <v>1924</v>
      </c>
      <c r="B451" t="s">
        <v>4</v>
      </c>
      <c r="C451">
        <v>-7</v>
      </c>
    </row>
    <row r="452" spans="1:3" x14ac:dyDescent="0.5">
      <c r="A452">
        <v>1925</v>
      </c>
      <c r="B452" t="s">
        <v>4</v>
      </c>
      <c r="C452">
        <v>3</v>
      </c>
    </row>
    <row r="453" spans="1:3" x14ac:dyDescent="0.5">
      <c r="A453">
        <v>1926</v>
      </c>
      <c r="B453" t="s">
        <v>4</v>
      </c>
      <c r="C453">
        <v>6</v>
      </c>
    </row>
    <row r="454" spans="1:3" x14ac:dyDescent="0.5">
      <c r="A454">
        <v>1927</v>
      </c>
      <c r="B454" t="s">
        <v>4</v>
      </c>
      <c r="C454">
        <v>-9</v>
      </c>
    </row>
    <row r="455" spans="1:3" x14ac:dyDescent="0.5">
      <c r="A455">
        <v>1928</v>
      </c>
      <c r="B455" t="s">
        <v>4</v>
      </c>
      <c r="C455">
        <v>-3</v>
      </c>
    </row>
    <row r="456" spans="1:3" x14ac:dyDescent="0.5">
      <c r="A456">
        <v>1929</v>
      </c>
      <c r="B456" t="s">
        <v>4</v>
      </c>
      <c r="C456">
        <v>-33</v>
      </c>
    </row>
    <row r="457" spans="1:3" x14ac:dyDescent="0.5">
      <c r="A457">
        <v>1930</v>
      </c>
      <c r="B457" t="s">
        <v>4</v>
      </c>
      <c r="C457">
        <v>10</v>
      </c>
    </row>
    <row r="458" spans="1:3" x14ac:dyDescent="0.5">
      <c r="A458">
        <v>1931</v>
      </c>
      <c r="B458" t="s">
        <v>4</v>
      </c>
      <c r="C458">
        <v>5</v>
      </c>
    </row>
    <row r="459" spans="1:3" x14ac:dyDescent="0.5">
      <c r="A459">
        <v>1932</v>
      </c>
      <c r="B459" t="s">
        <v>4</v>
      </c>
      <c r="C459">
        <v>7</v>
      </c>
    </row>
    <row r="460" spans="1:3" x14ac:dyDescent="0.5">
      <c r="A460">
        <v>1933</v>
      </c>
      <c r="B460" t="s">
        <v>4</v>
      </c>
      <c r="C460">
        <v>-21</v>
      </c>
    </row>
    <row r="461" spans="1:3" x14ac:dyDescent="0.5">
      <c r="A461">
        <v>1934</v>
      </c>
      <c r="B461" t="s">
        <v>4</v>
      </c>
      <c r="C461">
        <v>21</v>
      </c>
    </row>
    <row r="462" spans="1:3" x14ac:dyDescent="0.5">
      <c r="A462">
        <v>1935</v>
      </c>
      <c r="B462" t="s">
        <v>4</v>
      </c>
      <c r="C462">
        <v>0</v>
      </c>
    </row>
    <row r="463" spans="1:3" x14ac:dyDescent="0.5">
      <c r="A463">
        <v>1936</v>
      </c>
      <c r="B463" t="s">
        <v>4</v>
      </c>
      <c r="C463">
        <v>-1</v>
      </c>
    </row>
    <row r="464" spans="1:3" x14ac:dyDescent="0.5">
      <c r="A464">
        <v>1937</v>
      </c>
      <c r="B464" t="s">
        <v>4</v>
      </c>
      <c r="C464">
        <v>21</v>
      </c>
    </row>
    <row r="465" spans="1:3" x14ac:dyDescent="0.5">
      <c r="A465">
        <v>1938</v>
      </c>
      <c r="B465" t="s">
        <v>4</v>
      </c>
      <c r="C465">
        <v>37</v>
      </c>
    </row>
    <row r="466" spans="1:3" x14ac:dyDescent="0.5">
      <c r="A466">
        <v>1939</v>
      </c>
      <c r="B466" t="s">
        <v>4</v>
      </c>
      <c r="C466">
        <v>24</v>
      </c>
    </row>
    <row r="467" spans="1:3" x14ac:dyDescent="0.5">
      <c r="A467">
        <v>1940</v>
      </c>
      <c r="B467" t="s">
        <v>4</v>
      </c>
      <c r="C467">
        <v>10</v>
      </c>
    </row>
    <row r="468" spans="1:3" x14ac:dyDescent="0.5">
      <c r="A468">
        <v>1941</v>
      </c>
      <c r="B468" t="s">
        <v>4</v>
      </c>
      <c r="C468">
        <v>-3</v>
      </c>
    </row>
    <row r="469" spans="1:3" x14ac:dyDescent="0.5">
      <c r="A469">
        <v>1942</v>
      </c>
      <c r="B469" t="s">
        <v>4</v>
      </c>
      <c r="C469">
        <v>14</v>
      </c>
    </row>
    <row r="470" spans="1:3" x14ac:dyDescent="0.5">
      <c r="A470">
        <v>1943</v>
      </c>
      <c r="B470" t="s">
        <v>4</v>
      </c>
      <c r="C470">
        <v>38</v>
      </c>
    </row>
    <row r="471" spans="1:3" x14ac:dyDescent="0.5">
      <c r="A471">
        <v>1944</v>
      </c>
      <c r="B471" t="s">
        <v>4</v>
      </c>
      <c r="C471">
        <v>39</v>
      </c>
    </row>
    <row r="472" spans="1:3" x14ac:dyDescent="0.5">
      <c r="A472">
        <v>1945</v>
      </c>
      <c r="B472" t="s">
        <v>4</v>
      </c>
      <c r="C472">
        <v>10</v>
      </c>
    </row>
    <row r="473" spans="1:3" x14ac:dyDescent="0.5">
      <c r="A473">
        <v>1946</v>
      </c>
      <c r="B473" t="s">
        <v>4</v>
      </c>
      <c r="C473">
        <v>8</v>
      </c>
    </row>
    <row r="474" spans="1:3" x14ac:dyDescent="0.5">
      <c r="A474">
        <v>1947</v>
      </c>
      <c r="B474" t="s">
        <v>4</v>
      </c>
      <c r="C474">
        <v>14</v>
      </c>
    </row>
    <row r="475" spans="1:3" x14ac:dyDescent="0.5">
      <c r="A475">
        <v>1948</v>
      </c>
      <c r="B475" t="s">
        <v>4</v>
      </c>
      <c r="C475">
        <v>14</v>
      </c>
    </row>
    <row r="476" spans="1:3" x14ac:dyDescent="0.5">
      <c r="A476">
        <v>1949</v>
      </c>
      <c r="B476" t="s">
        <v>4</v>
      </c>
      <c r="C476">
        <v>12</v>
      </c>
    </row>
    <row r="477" spans="1:3" x14ac:dyDescent="0.5">
      <c r="A477">
        <v>1950</v>
      </c>
      <c r="B477" t="s">
        <v>4</v>
      </c>
      <c r="C477">
        <v>-8</v>
      </c>
    </row>
    <row r="478" spans="1:3" x14ac:dyDescent="0.5">
      <c r="A478">
        <v>1951</v>
      </c>
      <c r="B478" t="s">
        <v>4</v>
      </c>
      <c r="C478">
        <v>7</v>
      </c>
    </row>
    <row r="479" spans="1:3" x14ac:dyDescent="0.5">
      <c r="A479">
        <v>1952</v>
      </c>
      <c r="B479" t="s">
        <v>4</v>
      </c>
      <c r="C479">
        <v>9</v>
      </c>
    </row>
    <row r="480" spans="1:3" x14ac:dyDescent="0.5">
      <c r="A480">
        <v>1953</v>
      </c>
      <c r="B480" t="s">
        <v>4</v>
      </c>
      <c r="C480">
        <v>33</v>
      </c>
    </row>
    <row r="481" spans="1:3" x14ac:dyDescent="0.5">
      <c r="A481">
        <v>1954</v>
      </c>
      <c r="B481" t="s">
        <v>4</v>
      </c>
      <c r="C481">
        <v>3</v>
      </c>
    </row>
    <row r="482" spans="1:3" x14ac:dyDescent="0.5">
      <c r="A482">
        <v>1955</v>
      </c>
      <c r="B482" t="s">
        <v>4</v>
      </c>
      <c r="C482">
        <v>2</v>
      </c>
    </row>
    <row r="483" spans="1:3" x14ac:dyDescent="0.5">
      <c r="A483">
        <v>1956</v>
      </c>
      <c r="B483" t="s">
        <v>4</v>
      </c>
      <c r="C483">
        <v>-24</v>
      </c>
    </row>
    <row r="484" spans="1:3" x14ac:dyDescent="0.5">
      <c r="A484">
        <v>1957</v>
      </c>
      <c r="B484" t="s">
        <v>4</v>
      </c>
      <c r="C484">
        <v>2</v>
      </c>
    </row>
    <row r="485" spans="1:3" x14ac:dyDescent="0.5">
      <c r="A485">
        <v>1958</v>
      </c>
      <c r="B485" t="s">
        <v>4</v>
      </c>
      <c r="C485">
        <v>10</v>
      </c>
    </row>
    <row r="486" spans="1:3" x14ac:dyDescent="0.5">
      <c r="A486">
        <v>1959</v>
      </c>
      <c r="B486" t="s">
        <v>4</v>
      </c>
      <c r="C486">
        <v>15</v>
      </c>
    </row>
    <row r="487" spans="1:3" x14ac:dyDescent="0.5">
      <c r="A487">
        <v>1960</v>
      </c>
      <c r="B487" t="s">
        <v>4</v>
      </c>
      <c r="C487">
        <v>9</v>
      </c>
    </row>
    <row r="488" spans="1:3" x14ac:dyDescent="0.5">
      <c r="A488">
        <v>1961</v>
      </c>
      <c r="B488" t="s">
        <v>4</v>
      </c>
      <c r="C488">
        <v>18</v>
      </c>
    </row>
    <row r="489" spans="1:3" x14ac:dyDescent="0.5">
      <c r="A489">
        <v>1962</v>
      </c>
      <c r="B489" t="s">
        <v>4</v>
      </c>
      <c r="C489">
        <v>27</v>
      </c>
    </row>
    <row r="490" spans="1:3" x14ac:dyDescent="0.5">
      <c r="A490">
        <v>1963</v>
      </c>
      <c r="B490" t="s">
        <v>4</v>
      </c>
      <c r="C490">
        <v>16</v>
      </c>
    </row>
    <row r="491" spans="1:3" x14ac:dyDescent="0.5">
      <c r="A491">
        <v>1964</v>
      </c>
      <c r="B491" t="s">
        <v>4</v>
      </c>
      <c r="C491">
        <v>-24</v>
      </c>
    </row>
    <row r="492" spans="1:3" x14ac:dyDescent="0.5">
      <c r="A492">
        <v>1965</v>
      </c>
      <c r="B492" t="s">
        <v>4</v>
      </c>
      <c r="C492">
        <v>-17</v>
      </c>
    </row>
    <row r="493" spans="1:3" x14ac:dyDescent="0.5">
      <c r="A493">
        <v>1966</v>
      </c>
      <c r="B493" t="s">
        <v>4</v>
      </c>
      <c r="C493">
        <v>-12</v>
      </c>
    </row>
    <row r="494" spans="1:3" x14ac:dyDescent="0.5">
      <c r="A494">
        <v>1967</v>
      </c>
      <c r="B494" t="s">
        <v>4</v>
      </c>
      <c r="C494">
        <v>13</v>
      </c>
    </row>
    <row r="495" spans="1:3" x14ac:dyDescent="0.5">
      <c r="A495">
        <v>1968</v>
      </c>
      <c r="B495" t="s">
        <v>4</v>
      </c>
      <c r="C495">
        <v>-8</v>
      </c>
    </row>
    <row r="496" spans="1:3" x14ac:dyDescent="0.5">
      <c r="A496">
        <v>1969</v>
      </c>
      <c r="B496" t="s">
        <v>4</v>
      </c>
      <c r="C496">
        <v>-26</v>
      </c>
    </row>
    <row r="497" spans="1:3" x14ac:dyDescent="0.5">
      <c r="A497">
        <v>1970</v>
      </c>
      <c r="B497" t="s">
        <v>4</v>
      </c>
      <c r="C497">
        <v>-10</v>
      </c>
    </row>
    <row r="498" spans="1:3" x14ac:dyDescent="0.5">
      <c r="A498">
        <v>1971</v>
      </c>
      <c r="B498" t="s">
        <v>4</v>
      </c>
      <c r="C498">
        <v>-6</v>
      </c>
    </row>
    <row r="499" spans="1:3" x14ac:dyDescent="0.5">
      <c r="A499">
        <v>1972</v>
      </c>
      <c r="B499" t="s">
        <v>4</v>
      </c>
      <c r="C499">
        <v>-35</v>
      </c>
    </row>
    <row r="500" spans="1:3" x14ac:dyDescent="0.5">
      <c r="A500">
        <v>1973</v>
      </c>
      <c r="B500" t="s">
        <v>4</v>
      </c>
      <c r="C500">
        <v>12</v>
      </c>
    </row>
    <row r="501" spans="1:3" x14ac:dyDescent="0.5">
      <c r="A501">
        <v>1974</v>
      </c>
      <c r="B501" t="s">
        <v>4</v>
      </c>
      <c r="C501">
        <v>-17</v>
      </c>
    </row>
    <row r="502" spans="1:3" x14ac:dyDescent="0.5">
      <c r="A502">
        <v>1975</v>
      </c>
      <c r="B502" t="s">
        <v>4</v>
      </c>
      <c r="C502">
        <v>12</v>
      </c>
    </row>
    <row r="503" spans="1:3" x14ac:dyDescent="0.5">
      <c r="A503">
        <v>1976</v>
      </c>
      <c r="B503" t="s">
        <v>4</v>
      </c>
      <c r="C503">
        <v>-26</v>
      </c>
    </row>
    <row r="504" spans="1:3" x14ac:dyDescent="0.5">
      <c r="A504">
        <v>1977</v>
      </c>
      <c r="B504" t="s">
        <v>4</v>
      </c>
      <c r="C504">
        <v>14</v>
      </c>
    </row>
    <row r="505" spans="1:3" x14ac:dyDescent="0.5">
      <c r="A505">
        <v>1978</v>
      </c>
      <c r="B505" t="s">
        <v>4</v>
      </c>
      <c r="C505">
        <v>-3</v>
      </c>
    </row>
    <row r="506" spans="1:3" x14ac:dyDescent="0.5">
      <c r="A506">
        <v>1979</v>
      </c>
      <c r="B506" t="s">
        <v>4</v>
      </c>
      <c r="C506">
        <v>-3</v>
      </c>
    </row>
    <row r="507" spans="1:3" x14ac:dyDescent="0.5">
      <c r="A507">
        <v>1980</v>
      </c>
      <c r="B507" t="s">
        <v>4</v>
      </c>
      <c r="C507">
        <v>6</v>
      </c>
    </row>
    <row r="508" spans="1:3" x14ac:dyDescent="0.5">
      <c r="A508">
        <v>1981</v>
      </c>
      <c r="B508" t="s">
        <v>4</v>
      </c>
      <c r="C508">
        <v>50</v>
      </c>
    </row>
    <row r="509" spans="1:3" x14ac:dyDescent="0.5">
      <c r="A509">
        <v>1982</v>
      </c>
      <c r="B509" t="s">
        <v>4</v>
      </c>
      <c r="C509">
        <v>-6</v>
      </c>
    </row>
    <row r="510" spans="1:3" x14ac:dyDescent="0.5">
      <c r="A510">
        <v>1983</v>
      </c>
      <c r="B510" t="s">
        <v>4</v>
      </c>
      <c r="C510">
        <v>24</v>
      </c>
    </row>
    <row r="511" spans="1:3" x14ac:dyDescent="0.5">
      <c r="A511">
        <v>1984</v>
      </c>
      <c r="B511" t="s">
        <v>4</v>
      </c>
      <c r="C511">
        <v>3</v>
      </c>
    </row>
    <row r="512" spans="1:3" x14ac:dyDescent="0.5">
      <c r="A512">
        <v>1985</v>
      </c>
      <c r="B512" t="s">
        <v>4</v>
      </c>
      <c r="C512">
        <v>-3</v>
      </c>
    </row>
    <row r="513" spans="1:3" x14ac:dyDescent="0.5">
      <c r="A513">
        <v>1986</v>
      </c>
      <c r="B513" t="s">
        <v>4</v>
      </c>
      <c r="C513">
        <v>11</v>
      </c>
    </row>
    <row r="514" spans="1:3" x14ac:dyDescent="0.5">
      <c r="A514">
        <v>1987</v>
      </c>
      <c r="B514" t="s">
        <v>4</v>
      </c>
      <c r="C514">
        <v>7</v>
      </c>
    </row>
    <row r="515" spans="1:3" x14ac:dyDescent="0.5">
      <c r="A515">
        <v>1988</v>
      </c>
      <c r="B515" t="s">
        <v>4</v>
      </c>
      <c r="C515">
        <v>40</v>
      </c>
    </row>
    <row r="516" spans="1:3" x14ac:dyDescent="0.5">
      <c r="A516">
        <v>1989</v>
      </c>
      <c r="B516" t="s">
        <v>4</v>
      </c>
      <c r="C516">
        <v>42</v>
      </c>
    </row>
    <row r="517" spans="1:3" x14ac:dyDescent="0.5">
      <c r="A517">
        <v>1990</v>
      </c>
      <c r="B517" t="s">
        <v>4</v>
      </c>
      <c r="C517">
        <v>61</v>
      </c>
    </row>
    <row r="518" spans="1:3" x14ac:dyDescent="0.5">
      <c r="A518">
        <v>1991</v>
      </c>
      <c r="B518" t="s">
        <v>4</v>
      </c>
      <c r="C518">
        <v>46</v>
      </c>
    </row>
    <row r="519" spans="1:3" x14ac:dyDescent="0.5">
      <c r="A519">
        <v>1992</v>
      </c>
      <c r="B519" t="s">
        <v>4</v>
      </c>
      <c r="C519">
        <v>7</v>
      </c>
    </row>
    <row r="520" spans="1:3" x14ac:dyDescent="0.5">
      <c r="A520">
        <v>1993</v>
      </c>
      <c r="B520" t="s">
        <v>4</v>
      </c>
      <c r="C520">
        <v>13</v>
      </c>
    </row>
    <row r="521" spans="1:3" x14ac:dyDescent="0.5">
      <c r="A521">
        <v>1994</v>
      </c>
      <c r="B521" t="s">
        <v>4</v>
      </c>
      <c r="C521">
        <v>43</v>
      </c>
    </row>
    <row r="522" spans="1:3" x14ac:dyDescent="0.5">
      <c r="A522">
        <v>1995</v>
      </c>
      <c r="B522" t="s">
        <v>4</v>
      </c>
      <c r="C522">
        <v>70</v>
      </c>
    </row>
    <row r="523" spans="1:3" x14ac:dyDescent="0.5">
      <c r="A523">
        <v>1996</v>
      </c>
      <c r="B523" t="s">
        <v>4</v>
      </c>
      <c r="C523">
        <v>26</v>
      </c>
    </row>
    <row r="524" spans="1:3" x14ac:dyDescent="0.5">
      <c r="A524">
        <v>1997</v>
      </c>
      <c r="B524" t="s">
        <v>4</v>
      </c>
      <c r="C524">
        <v>54</v>
      </c>
    </row>
    <row r="525" spans="1:3" x14ac:dyDescent="0.5">
      <c r="A525">
        <v>1998</v>
      </c>
      <c r="B525" t="s">
        <v>4</v>
      </c>
      <c r="C525">
        <v>79</v>
      </c>
    </row>
    <row r="526" spans="1:3" x14ac:dyDescent="0.5">
      <c r="A526">
        <v>1999</v>
      </c>
      <c r="B526" t="s">
        <v>4</v>
      </c>
      <c r="C526">
        <v>73</v>
      </c>
    </row>
    <row r="527" spans="1:3" x14ac:dyDescent="0.5">
      <c r="A527">
        <v>2000</v>
      </c>
      <c r="B527" t="s">
        <v>4</v>
      </c>
      <c r="C527">
        <v>71</v>
      </c>
    </row>
    <row r="528" spans="1:3" x14ac:dyDescent="0.5">
      <c r="A528">
        <v>2001</v>
      </c>
      <c r="B528" t="s">
        <v>4</v>
      </c>
      <c r="C528">
        <v>80</v>
      </c>
    </row>
    <row r="529" spans="1:3" x14ac:dyDescent="0.5">
      <c r="A529">
        <v>2002</v>
      </c>
      <c r="B529" t="s">
        <v>4</v>
      </c>
      <c r="C529">
        <v>81</v>
      </c>
    </row>
    <row r="530" spans="1:3" x14ac:dyDescent="0.5">
      <c r="A530">
        <v>2003</v>
      </c>
      <c r="B530" t="s">
        <v>4</v>
      </c>
      <c r="C530">
        <v>80</v>
      </c>
    </row>
    <row r="531" spans="1:3" x14ac:dyDescent="0.5">
      <c r="A531">
        <v>2004</v>
      </c>
      <c r="B531" t="s">
        <v>4</v>
      </c>
      <c r="C531">
        <v>75</v>
      </c>
    </row>
    <row r="532" spans="1:3" x14ac:dyDescent="0.5">
      <c r="A532">
        <v>2005</v>
      </c>
      <c r="B532" t="s">
        <v>4</v>
      </c>
      <c r="C532">
        <v>99</v>
      </c>
    </row>
    <row r="533" spans="1:3" x14ac:dyDescent="0.5">
      <c r="A533">
        <v>2006</v>
      </c>
      <c r="B533" t="s">
        <v>4</v>
      </c>
      <c r="C533">
        <v>96</v>
      </c>
    </row>
    <row r="534" spans="1:3" x14ac:dyDescent="0.5">
      <c r="A534">
        <v>2007</v>
      </c>
      <c r="B534" t="s">
        <v>4</v>
      </c>
      <c r="C534">
        <v>110</v>
      </c>
    </row>
    <row r="535" spans="1:3" x14ac:dyDescent="0.5">
      <c r="A535">
        <v>2008</v>
      </c>
      <c r="B535" t="s">
        <v>4</v>
      </c>
      <c r="C535">
        <v>88</v>
      </c>
    </row>
    <row r="536" spans="1:3" x14ac:dyDescent="0.5">
      <c r="A536">
        <v>2009</v>
      </c>
      <c r="B536" t="s">
        <v>4</v>
      </c>
      <c r="C536">
        <v>74</v>
      </c>
    </row>
    <row r="537" spans="1:3" x14ac:dyDescent="0.5">
      <c r="A537">
        <v>2010</v>
      </c>
      <c r="B537" t="s">
        <v>4</v>
      </c>
      <c r="C537">
        <v>98</v>
      </c>
    </row>
    <row r="538" spans="1:3" x14ac:dyDescent="0.5">
      <c r="A538">
        <v>2011</v>
      </c>
      <c r="B538" t="s">
        <v>4</v>
      </c>
      <c r="C538">
        <v>93</v>
      </c>
    </row>
    <row r="539" spans="1:3" x14ac:dyDescent="0.5">
      <c r="A539">
        <v>2012</v>
      </c>
      <c r="B539" t="s">
        <v>4</v>
      </c>
      <c r="C539">
        <v>97</v>
      </c>
    </row>
    <row r="540" spans="1:3" x14ac:dyDescent="0.5">
      <c r="A540">
        <v>2013</v>
      </c>
      <c r="B540" t="s">
        <v>4</v>
      </c>
      <c r="C540">
        <v>88</v>
      </c>
    </row>
    <row r="541" spans="1:3" x14ac:dyDescent="0.5">
      <c r="A541">
        <v>2014</v>
      </c>
      <c r="B541" t="s">
        <v>4</v>
      </c>
      <c r="C541">
        <v>106</v>
      </c>
    </row>
    <row r="542" spans="1:3" x14ac:dyDescent="0.5">
      <c r="A542">
        <v>1880</v>
      </c>
      <c r="B542" t="s">
        <v>5</v>
      </c>
      <c r="C542">
        <v>-16</v>
      </c>
    </row>
    <row r="543" spans="1:3" x14ac:dyDescent="0.5">
      <c r="A543">
        <v>1881</v>
      </c>
      <c r="B543" t="s">
        <v>5</v>
      </c>
      <c r="C543">
        <v>-2</v>
      </c>
    </row>
    <row r="544" spans="1:3" x14ac:dyDescent="0.5">
      <c r="A544">
        <v>1882</v>
      </c>
      <c r="B544" t="s">
        <v>5</v>
      </c>
      <c r="C544">
        <v>-10</v>
      </c>
    </row>
    <row r="545" spans="1:3" x14ac:dyDescent="0.5">
      <c r="A545">
        <v>1883</v>
      </c>
      <c r="B545" t="s">
        <v>5</v>
      </c>
      <c r="C545">
        <v>-22</v>
      </c>
    </row>
    <row r="546" spans="1:3" x14ac:dyDescent="0.5">
      <c r="A546">
        <v>1884</v>
      </c>
      <c r="B546" t="s">
        <v>5</v>
      </c>
      <c r="C546">
        <v>-17</v>
      </c>
    </row>
    <row r="547" spans="1:3" x14ac:dyDescent="0.5">
      <c r="A547">
        <v>1885</v>
      </c>
      <c r="B547" t="s">
        <v>5</v>
      </c>
      <c r="C547">
        <v>-17</v>
      </c>
    </row>
    <row r="548" spans="1:3" x14ac:dyDescent="0.5">
      <c r="A548">
        <v>1886</v>
      </c>
      <c r="B548" t="s">
        <v>5</v>
      </c>
      <c r="C548">
        <v>-24</v>
      </c>
    </row>
    <row r="549" spans="1:3" x14ac:dyDescent="0.5">
      <c r="A549">
        <v>1887</v>
      </c>
      <c r="B549" t="s">
        <v>5</v>
      </c>
      <c r="C549">
        <v>-27</v>
      </c>
    </row>
    <row r="550" spans="1:3" x14ac:dyDescent="0.5">
      <c r="A550">
        <v>1888</v>
      </c>
      <c r="B550" t="s">
        <v>5</v>
      </c>
      <c r="C550">
        <v>7</v>
      </c>
    </row>
    <row r="551" spans="1:3" x14ac:dyDescent="0.5">
      <c r="A551">
        <v>1889</v>
      </c>
      <c r="B551" t="s">
        <v>5</v>
      </c>
      <c r="C551">
        <v>4</v>
      </c>
    </row>
    <row r="552" spans="1:3" x14ac:dyDescent="0.5">
      <c r="A552">
        <v>1890</v>
      </c>
      <c r="B552" t="s">
        <v>5</v>
      </c>
      <c r="C552">
        <v>-39</v>
      </c>
    </row>
    <row r="553" spans="1:3" x14ac:dyDescent="0.5">
      <c r="A553">
        <v>1891</v>
      </c>
      <c r="B553" t="s">
        <v>5</v>
      </c>
      <c r="C553">
        <v>-16</v>
      </c>
    </row>
    <row r="554" spans="1:3" x14ac:dyDescent="0.5">
      <c r="A554">
        <v>1892</v>
      </c>
      <c r="B554" t="s">
        <v>5</v>
      </c>
      <c r="C554">
        <v>-30</v>
      </c>
    </row>
    <row r="555" spans="1:3" x14ac:dyDescent="0.5">
      <c r="A555">
        <v>1893</v>
      </c>
      <c r="B555" t="s">
        <v>5</v>
      </c>
      <c r="C555">
        <v>-40</v>
      </c>
    </row>
    <row r="556" spans="1:3" x14ac:dyDescent="0.5">
      <c r="A556">
        <v>1894</v>
      </c>
      <c r="B556" t="s">
        <v>5</v>
      </c>
      <c r="C556">
        <v>-38</v>
      </c>
    </row>
    <row r="557" spans="1:3" x14ac:dyDescent="0.5">
      <c r="A557">
        <v>1895</v>
      </c>
      <c r="B557" t="s">
        <v>5</v>
      </c>
      <c r="C557">
        <v>-13</v>
      </c>
    </row>
    <row r="558" spans="1:3" x14ac:dyDescent="0.5">
      <c r="A558">
        <v>1896</v>
      </c>
      <c r="B558" t="s">
        <v>5</v>
      </c>
      <c r="C558">
        <v>3</v>
      </c>
    </row>
    <row r="559" spans="1:3" x14ac:dyDescent="0.5">
      <c r="A559">
        <v>1897</v>
      </c>
      <c r="B559" t="s">
        <v>5</v>
      </c>
      <c r="C559">
        <v>16</v>
      </c>
    </row>
    <row r="560" spans="1:3" x14ac:dyDescent="0.5">
      <c r="A560">
        <v>1898</v>
      </c>
      <c r="B560" t="s">
        <v>5</v>
      </c>
      <c r="C560">
        <v>-29</v>
      </c>
    </row>
    <row r="561" spans="1:3" x14ac:dyDescent="0.5">
      <c r="A561">
        <v>1899</v>
      </c>
      <c r="B561" t="s">
        <v>5</v>
      </c>
      <c r="C561">
        <v>-13</v>
      </c>
    </row>
    <row r="562" spans="1:3" x14ac:dyDescent="0.5">
      <c r="A562">
        <v>1900</v>
      </c>
      <c r="B562" t="s">
        <v>5</v>
      </c>
      <c r="C562">
        <v>15</v>
      </c>
    </row>
    <row r="563" spans="1:3" x14ac:dyDescent="0.5">
      <c r="A563">
        <v>1901</v>
      </c>
      <c r="B563" t="s">
        <v>5</v>
      </c>
      <c r="C563">
        <v>-5</v>
      </c>
    </row>
    <row r="564" spans="1:3" x14ac:dyDescent="0.5">
      <c r="A564">
        <v>1902</v>
      </c>
      <c r="B564" t="s">
        <v>5</v>
      </c>
      <c r="C564">
        <v>-5</v>
      </c>
    </row>
    <row r="565" spans="1:3" x14ac:dyDescent="0.5">
      <c r="A565">
        <v>1903</v>
      </c>
      <c r="B565" t="s">
        <v>5</v>
      </c>
      <c r="C565">
        <v>-32</v>
      </c>
    </row>
    <row r="566" spans="1:3" x14ac:dyDescent="0.5">
      <c r="A566">
        <v>1904</v>
      </c>
      <c r="B566" t="s">
        <v>5</v>
      </c>
      <c r="C566">
        <v>-46</v>
      </c>
    </row>
    <row r="567" spans="1:3" x14ac:dyDescent="0.5">
      <c r="A567">
        <v>1905</v>
      </c>
      <c r="B567" t="s">
        <v>5</v>
      </c>
      <c r="C567">
        <v>-13</v>
      </c>
    </row>
    <row r="568" spans="1:3" x14ac:dyDescent="0.5">
      <c r="A568">
        <v>1906</v>
      </c>
      <c r="B568" t="s">
        <v>5</v>
      </c>
      <c r="C568">
        <v>-22</v>
      </c>
    </row>
    <row r="569" spans="1:3" x14ac:dyDescent="0.5">
      <c r="A569">
        <v>1907</v>
      </c>
      <c r="B569" t="s">
        <v>5</v>
      </c>
      <c r="C569">
        <v>-34</v>
      </c>
    </row>
    <row r="570" spans="1:3" x14ac:dyDescent="0.5">
      <c r="A570">
        <v>1908</v>
      </c>
      <c r="B570" t="s">
        <v>5</v>
      </c>
      <c r="C570">
        <v>-47</v>
      </c>
    </row>
    <row r="571" spans="1:3" x14ac:dyDescent="0.5">
      <c r="A571">
        <v>1909</v>
      </c>
      <c r="B571" t="s">
        <v>5</v>
      </c>
      <c r="C571">
        <v>-53</v>
      </c>
    </row>
    <row r="572" spans="1:3" x14ac:dyDescent="0.5">
      <c r="A572">
        <v>1910</v>
      </c>
      <c r="B572" t="s">
        <v>5</v>
      </c>
      <c r="C572">
        <v>-54</v>
      </c>
    </row>
    <row r="573" spans="1:3" x14ac:dyDescent="0.5">
      <c r="A573">
        <v>1911</v>
      </c>
      <c r="B573" t="s">
        <v>5</v>
      </c>
      <c r="C573">
        <v>-47</v>
      </c>
    </row>
    <row r="574" spans="1:3" x14ac:dyDescent="0.5">
      <c r="A574">
        <v>1912</v>
      </c>
      <c r="B574" t="s">
        <v>5</v>
      </c>
      <c r="C574">
        <v>-22</v>
      </c>
    </row>
    <row r="575" spans="1:3" x14ac:dyDescent="0.5">
      <c r="A575">
        <v>1913</v>
      </c>
      <c r="B575" t="s">
        <v>5</v>
      </c>
      <c r="C575">
        <v>-31</v>
      </c>
    </row>
    <row r="576" spans="1:3" x14ac:dyDescent="0.5">
      <c r="A576">
        <v>1914</v>
      </c>
      <c r="B576" t="s">
        <v>5</v>
      </c>
      <c r="C576">
        <v>-7</v>
      </c>
    </row>
    <row r="577" spans="1:3" x14ac:dyDescent="0.5">
      <c r="A577">
        <v>1915</v>
      </c>
      <c r="B577" t="s">
        <v>5</v>
      </c>
      <c r="C577">
        <v>1</v>
      </c>
    </row>
    <row r="578" spans="1:3" x14ac:dyDescent="0.5">
      <c r="A578">
        <v>1916</v>
      </c>
      <c r="B578" t="s">
        <v>5</v>
      </c>
      <c r="C578">
        <v>-45</v>
      </c>
    </row>
    <row r="579" spans="1:3" x14ac:dyDescent="0.5">
      <c r="A579">
        <v>1917</v>
      </c>
      <c r="B579" t="s">
        <v>5</v>
      </c>
      <c r="C579">
        <v>-61</v>
      </c>
    </row>
    <row r="580" spans="1:3" x14ac:dyDescent="0.5">
      <c r="A580">
        <v>1918</v>
      </c>
      <c r="B580" t="s">
        <v>5</v>
      </c>
      <c r="C580">
        <v>-27</v>
      </c>
    </row>
    <row r="581" spans="1:3" x14ac:dyDescent="0.5">
      <c r="A581">
        <v>1919</v>
      </c>
      <c r="B581" t="s">
        <v>5</v>
      </c>
      <c r="C581">
        <v>-14</v>
      </c>
    </row>
    <row r="582" spans="1:3" x14ac:dyDescent="0.5">
      <c r="A582">
        <v>1920</v>
      </c>
      <c r="B582" t="s">
        <v>5</v>
      </c>
      <c r="C582">
        <v>-27</v>
      </c>
    </row>
    <row r="583" spans="1:3" x14ac:dyDescent="0.5">
      <c r="A583">
        <v>1921</v>
      </c>
      <c r="B583" t="s">
        <v>5</v>
      </c>
      <c r="C583">
        <v>-27</v>
      </c>
    </row>
    <row r="584" spans="1:3" x14ac:dyDescent="0.5">
      <c r="A584">
        <v>1922</v>
      </c>
      <c r="B584" t="s">
        <v>5</v>
      </c>
      <c r="C584">
        <v>-32</v>
      </c>
    </row>
    <row r="585" spans="1:3" x14ac:dyDescent="0.5">
      <c r="A585">
        <v>1923</v>
      </c>
      <c r="B585" t="s">
        <v>5</v>
      </c>
      <c r="C585">
        <v>-30</v>
      </c>
    </row>
    <row r="586" spans="1:3" x14ac:dyDescent="0.5">
      <c r="A586">
        <v>1924</v>
      </c>
      <c r="B586" t="s">
        <v>5</v>
      </c>
      <c r="C586">
        <v>-25</v>
      </c>
    </row>
    <row r="587" spans="1:3" x14ac:dyDescent="0.5">
      <c r="A587">
        <v>1925</v>
      </c>
      <c r="B587" t="s">
        <v>5</v>
      </c>
      <c r="C587">
        <v>-22</v>
      </c>
    </row>
    <row r="588" spans="1:3" x14ac:dyDescent="0.5">
      <c r="A588">
        <v>1926</v>
      </c>
      <c r="B588" t="s">
        <v>5</v>
      </c>
      <c r="C588">
        <v>3</v>
      </c>
    </row>
    <row r="589" spans="1:3" x14ac:dyDescent="0.5">
      <c r="A589">
        <v>1927</v>
      </c>
      <c r="B589" t="s">
        <v>5</v>
      </c>
      <c r="C589">
        <v>-14</v>
      </c>
    </row>
    <row r="590" spans="1:3" x14ac:dyDescent="0.5">
      <c r="A590">
        <v>1928</v>
      </c>
      <c r="B590" t="s">
        <v>5</v>
      </c>
      <c r="C590">
        <v>-14</v>
      </c>
    </row>
    <row r="591" spans="1:3" x14ac:dyDescent="0.5">
      <c r="A591">
        <v>1929</v>
      </c>
      <c r="B591" t="s">
        <v>5</v>
      </c>
      <c r="C591">
        <v>-27</v>
      </c>
    </row>
    <row r="592" spans="1:3" x14ac:dyDescent="0.5">
      <c r="A592">
        <v>1930</v>
      </c>
      <c r="B592" t="s">
        <v>5</v>
      </c>
      <c r="C592">
        <v>-12</v>
      </c>
    </row>
    <row r="593" spans="1:3" x14ac:dyDescent="0.5">
      <c r="A593">
        <v>1931</v>
      </c>
      <c r="B593" t="s">
        <v>5</v>
      </c>
      <c r="C593">
        <v>3</v>
      </c>
    </row>
    <row r="594" spans="1:3" x14ac:dyDescent="0.5">
      <c r="A594">
        <v>1932</v>
      </c>
      <c r="B594" t="s">
        <v>5</v>
      </c>
      <c r="C594">
        <v>-17</v>
      </c>
    </row>
    <row r="595" spans="1:3" x14ac:dyDescent="0.5">
      <c r="A595">
        <v>1933</v>
      </c>
      <c r="B595" t="s">
        <v>5</v>
      </c>
      <c r="C595">
        <v>-29</v>
      </c>
    </row>
    <row r="596" spans="1:3" x14ac:dyDescent="0.5">
      <c r="A596">
        <v>1934</v>
      </c>
      <c r="B596" t="s">
        <v>5</v>
      </c>
      <c r="C596">
        <v>-27</v>
      </c>
    </row>
    <row r="597" spans="1:3" x14ac:dyDescent="0.5">
      <c r="A597">
        <v>1935</v>
      </c>
      <c r="B597" t="s">
        <v>5</v>
      </c>
      <c r="C597">
        <v>-22</v>
      </c>
    </row>
    <row r="598" spans="1:3" x14ac:dyDescent="0.5">
      <c r="A598">
        <v>1936</v>
      </c>
      <c r="B598" t="s">
        <v>5</v>
      </c>
      <c r="C598">
        <v>-14</v>
      </c>
    </row>
    <row r="599" spans="1:3" x14ac:dyDescent="0.5">
      <c r="A599">
        <v>1937</v>
      </c>
      <c r="B599" t="s">
        <v>5</v>
      </c>
      <c r="C599">
        <v>-6</v>
      </c>
    </row>
    <row r="600" spans="1:3" x14ac:dyDescent="0.5">
      <c r="A600">
        <v>1938</v>
      </c>
      <c r="B600" t="s">
        <v>5</v>
      </c>
      <c r="C600">
        <v>-26</v>
      </c>
    </row>
    <row r="601" spans="1:3" x14ac:dyDescent="0.5">
      <c r="A601">
        <v>1939</v>
      </c>
      <c r="B601" t="s">
        <v>5</v>
      </c>
      <c r="C601">
        <v>-17</v>
      </c>
    </row>
    <row r="602" spans="1:3" x14ac:dyDescent="0.5">
      <c r="A602">
        <v>1940</v>
      </c>
      <c r="B602" t="s">
        <v>5</v>
      </c>
      <c r="C602">
        <v>19</v>
      </c>
    </row>
    <row r="603" spans="1:3" x14ac:dyDescent="0.5">
      <c r="A603">
        <v>1941</v>
      </c>
      <c r="B603" t="s">
        <v>5</v>
      </c>
      <c r="C603">
        <v>39</v>
      </c>
    </row>
    <row r="604" spans="1:3" x14ac:dyDescent="0.5">
      <c r="A604">
        <v>1942</v>
      </c>
      <c r="B604" t="s">
        <v>5</v>
      </c>
      <c r="C604">
        <v>15</v>
      </c>
    </row>
    <row r="605" spans="1:3" x14ac:dyDescent="0.5">
      <c r="A605">
        <v>1943</v>
      </c>
      <c r="B605" t="s">
        <v>5</v>
      </c>
      <c r="C605">
        <v>0</v>
      </c>
    </row>
    <row r="606" spans="1:3" x14ac:dyDescent="0.5">
      <c r="A606">
        <v>1944</v>
      </c>
      <c r="B606" t="s">
        <v>5</v>
      </c>
      <c r="C606">
        <v>22</v>
      </c>
    </row>
    <row r="607" spans="1:3" x14ac:dyDescent="0.5">
      <c r="A607">
        <v>1945</v>
      </c>
      <c r="B607" t="s">
        <v>5</v>
      </c>
      <c r="C607">
        <v>22</v>
      </c>
    </row>
    <row r="608" spans="1:3" x14ac:dyDescent="0.5">
      <c r="A608">
        <v>1946</v>
      </c>
      <c r="B608" t="s">
        <v>5</v>
      </c>
      <c r="C608">
        <v>-1</v>
      </c>
    </row>
    <row r="609" spans="1:3" x14ac:dyDescent="0.5">
      <c r="A609">
        <v>1947</v>
      </c>
      <c r="B609" t="s">
        <v>5</v>
      </c>
      <c r="C609">
        <v>-9</v>
      </c>
    </row>
    <row r="610" spans="1:3" x14ac:dyDescent="0.5">
      <c r="A610">
        <v>1948</v>
      </c>
      <c r="B610" t="s">
        <v>5</v>
      </c>
      <c r="C610">
        <v>-18</v>
      </c>
    </row>
    <row r="611" spans="1:3" x14ac:dyDescent="0.5">
      <c r="A611">
        <v>1949</v>
      </c>
      <c r="B611" t="s">
        <v>5</v>
      </c>
      <c r="C611">
        <v>-18</v>
      </c>
    </row>
    <row r="612" spans="1:3" x14ac:dyDescent="0.5">
      <c r="A612">
        <v>1950</v>
      </c>
      <c r="B612" t="s">
        <v>5</v>
      </c>
      <c r="C612">
        <v>-27</v>
      </c>
    </row>
    <row r="613" spans="1:3" x14ac:dyDescent="0.5">
      <c r="A613">
        <v>1951</v>
      </c>
      <c r="B613" t="s">
        <v>5</v>
      </c>
      <c r="C613">
        <v>-6</v>
      </c>
    </row>
    <row r="614" spans="1:3" x14ac:dyDescent="0.5">
      <c r="A614">
        <v>1952</v>
      </c>
      <c r="B614" t="s">
        <v>5</v>
      </c>
      <c r="C614">
        <v>2</v>
      </c>
    </row>
    <row r="615" spans="1:3" x14ac:dyDescent="0.5">
      <c r="A615">
        <v>1953</v>
      </c>
      <c r="B615" t="s">
        <v>5</v>
      </c>
      <c r="C615">
        <v>5</v>
      </c>
    </row>
    <row r="616" spans="1:3" x14ac:dyDescent="0.5">
      <c r="A616">
        <v>1954</v>
      </c>
      <c r="B616" t="s">
        <v>5</v>
      </c>
      <c r="C616">
        <v>-21</v>
      </c>
    </row>
    <row r="617" spans="1:3" x14ac:dyDescent="0.5">
      <c r="A617">
        <v>1955</v>
      </c>
      <c r="B617" t="s">
        <v>5</v>
      </c>
      <c r="C617">
        <v>-32</v>
      </c>
    </row>
    <row r="618" spans="1:3" x14ac:dyDescent="0.5">
      <c r="A618">
        <v>1956</v>
      </c>
      <c r="B618" t="s">
        <v>5</v>
      </c>
      <c r="C618">
        <v>-32</v>
      </c>
    </row>
    <row r="619" spans="1:3" x14ac:dyDescent="0.5">
      <c r="A619">
        <v>1957</v>
      </c>
      <c r="B619" t="s">
        <v>5</v>
      </c>
      <c r="C619">
        <v>7</v>
      </c>
    </row>
    <row r="620" spans="1:3" x14ac:dyDescent="0.5">
      <c r="A620">
        <v>1958</v>
      </c>
      <c r="B620" t="s">
        <v>5</v>
      </c>
      <c r="C620">
        <v>20</v>
      </c>
    </row>
    <row r="621" spans="1:3" x14ac:dyDescent="0.5">
      <c r="A621">
        <v>1959</v>
      </c>
      <c r="B621" t="s">
        <v>5</v>
      </c>
      <c r="C621">
        <v>6</v>
      </c>
    </row>
    <row r="622" spans="1:3" x14ac:dyDescent="0.5">
      <c r="A622">
        <v>1960</v>
      </c>
      <c r="B622" t="s">
        <v>5</v>
      </c>
      <c r="C622">
        <v>1</v>
      </c>
    </row>
    <row r="623" spans="1:3" x14ac:dyDescent="0.5">
      <c r="A623">
        <v>1961</v>
      </c>
      <c r="B623" t="s">
        <v>5</v>
      </c>
      <c r="C623">
        <v>-3</v>
      </c>
    </row>
    <row r="624" spans="1:3" x14ac:dyDescent="0.5">
      <c r="A624">
        <v>1962</v>
      </c>
      <c r="B624" t="s">
        <v>5</v>
      </c>
      <c r="C624">
        <v>-4</v>
      </c>
    </row>
    <row r="625" spans="1:3" x14ac:dyDescent="0.5">
      <c r="A625">
        <v>1963</v>
      </c>
      <c r="B625" t="s">
        <v>5</v>
      </c>
      <c r="C625">
        <v>11</v>
      </c>
    </row>
    <row r="626" spans="1:3" x14ac:dyDescent="0.5">
      <c r="A626">
        <v>1964</v>
      </c>
      <c r="B626" t="s">
        <v>5</v>
      </c>
      <c r="C626">
        <v>-14</v>
      </c>
    </row>
    <row r="627" spans="1:3" x14ac:dyDescent="0.5">
      <c r="A627">
        <v>1965</v>
      </c>
      <c r="B627" t="s">
        <v>5</v>
      </c>
      <c r="C627">
        <v>-3</v>
      </c>
    </row>
    <row r="628" spans="1:3" x14ac:dyDescent="0.5">
      <c r="A628">
        <v>1966</v>
      </c>
      <c r="B628" t="s">
        <v>5</v>
      </c>
      <c r="C628">
        <v>8</v>
      </c>
    </row>
    <row r="629" spans="1:3" x14ac:dyDescent="0.5">
      <c r="A629">
        <v>1967</v>
      </c>
      <c r="B629" t="s">
        <v>5</v>
      </c>
      <c r="C629">
        <v>-14</v>
      </c>
    </row>
    <row r="630" spans="1:3" x14ac:dyDescent="0.5">
      <c r="A630">
        <v>1968</v>
      </c>
      <c r="B630" t="s">
        <v>5</v>
      </c>
      <c r="C630">
        <v>-6</v>
      </c>
    </row>
    <row r="631" spans="1:3" x14ac:dyDescent="0.5">
      <c r="A631">
        <v>1969</v>
      </c>
      <c r="B631" t="s">
        <v>5</v>
      </c>
      <c r="C631">
        <v>32</v>
      </c>
    </row>
    <row r="632" spans="1:3" x14ac:dyDescent="0.5">
      <c r="A632">
        <v>1970</v>
      </c>
      <c r="B632" t="s">
        <v>5</v>
      </c>
      <c r="C632">
        <v>6</v>
      </c>
    </row>
    <row r="633" spans="1:3" x14ac:dyDescent="0.5">
      <c r="A633">
        <v>1971</v>
      </c>
      <c r="B633" t="s">
        <v>5</v>
      </c>
      <c r="C633">
        <v>-26</v>
      </c>
    </row>
    <row r="634" spans="1:3" x14ac:dyDescent="0.5">
      <c r="A634">
        <v>1972</v>
      </c>
      <c r="B634" t="s">
        <v>5</v>
      </c>
      <c r="C634">
        <v>16</v>
      </c>
    </row>
    <row r="635" spans="1:3" x14ac:dyDescent="0.5">
      <c r="A635">
        <v>1973</v>
      </c>
      <c r="B635" t="s">
        <v>5</v>
      </c>
      <c r="C635">
        <v>17</v>
      </c>
    </row>
    <row r="636" spans="1:3" x14ac:dyDescent="0.5">
      <c r="A636">
        <v>1974</v>
      </c>
      <c r="B636" t="s">
        <v>5</v>
      </c>
      <c r="C636">
        <v>-19</v>
      </c>
    </row>
    <row r="637" spans="1:3" x14ac:dyDescent="0.5">
      <c r="A637">
        <v>1975</v>
      </c>
      <c r="B637" t="s">
        <v>5</v>
      </c>
      <c r="C637">
        <v>-22</v>
      </c>
    </row>
    <row r="638" spans="1:3" x14ac:dyDescent="0.5">
      <c r="A638">
        <v>1976</v>
      </c>
      <c r="B638" t="s">
        <v>5</v>
      </c>
      <c r="C638">
        <v>-11</v>
      </c>
    </row>
    <row r="639" spans="1:3" x14ac:dyDescent="0.5">
      <c r="A639">
        <v>1977</v>
      </c>
      <c r="B639" t="s">
        <v>5</v>
      </c>
      <c r="C639">
        <v>16</v>
      </c>
    </row>
    <row r="640" spans="1:3" x14ac:dyDescent="0.5">
      <c r="A640">
        <v>1978</v>
      </c>
      <c r="B640" t="s">
        <v>5</v>
      </c>
      <c r="C640">
        <v>9</v>
      </c>
    </row>
    <row r="641" spans="1:3" x14ac:dyDescent="0.5">
      <c r="A641">
        <v>1979</v>
      </c>
      <c r="B641" t="s">
        <v>5</v>
      </c>
      <c r="C641">
        <v>25</v>
      </c>
    </row>
    <row r="642" spans="1:3" x14ac:dyDescent="0.5">
      <c r="A642">
        <v>1980</v>
      </c>
      <c r="B642" t="s">
        <v>5</v>
      </c>
      <c r="C642">
        <v>30</v>
      </c>
    </row>
    <row r="643" spans="1:3" x14ac:dyDescent="0.5">
      <c r="A643">
        <v>1981</v>
      </c>
      <c r="B643" t="s">
        <v>5</v>
      </c>
      <c r="C643">
        <v>19</v>
      </c>
    </row>
    <row r="644" spans="1:3" x14ac:dyDescent="0.5">
      <c r="A644">
        <v>1982</v>
      </c>
      <c r="B644" t="s">
        <v>5</v>
      </c>
      <c r="C644">
        <v>27</v>
      </c>
    </row>
    <row r="645" spans="1:3" x14ac:dyDescent="0.5">
      <c r="A645">
        <v>1983</v>
      </c>
      <c r="B645" t="s">
        <v>5</v>
      </c>
      <c r="C645">
        <v>44</v>
      </c>
    </row>
    <row r="646" spans="1:3" x14ac:dyDescent="0.5">
      <c r="A646">
        <v>1984</v>
      </c>
      <c r="B646" t="s">
        <v>5</v>
      </c>
      <c r="C646">
        <v>19</v>
      </c>
    </row>
    <row r="647" spans="1:3" x14ac:dyDescent="0.5">
      <c r="A647">
        <v>1985</v>
      </c>
      <c r="B647" t="s">
        <v>5</v>
      </c>
      <c r="C647">
        <v>11</v>
      </c>
    </row>
    <row r="648" spans="1:3" x14ac:dyDescent="0.5">
      <c r="A648">
        <v>1986</v>
      </c>
      <c r="B648" t="s">
        <v>5</v>
      </c>
      <c r="C648">
        <v>24</v>
      </c>
    </row>
    <row r="649" spans="1:3" x14ac:dyDescent="0.5">
      <c r="A649">
        <v>1987</v>
      </c>
      <c r="B649" t="s">
        <v>5</v>
      </c>
      <c r="C649">
        <v>60</v>
      </c>
    </row>
    <row r="650" spans="1:3" x14ac:dyDescent="0.5">
      <c r="A650">
        <v>1988</v>
      </c>
      <c r="B650" t="s">
        <v>5</v>
      </c>
      <c r="C650">
        <v>38</v>
      </c>
    </row>
    <row r="651" spans="1:3" x14ac:dyDescent="0.5">
      <c r="A651">
        <v>1989</v>
      </c>
      <c r="B651" t="s">
        <v>5</v>
      </c>
      <c r="C651">
        <v>16</v>
      </c>
    </row>
    <row r="652" spans="1:3" x14ac:dyDescent="0.5">
      <c r="A652">
        <v>1990</v>
      </c>
      <c r="B652" t="s">
        <v>5</v>
      </c>
      <c r="C652">
        <v>38</v>
      </c>
    </row>
    <row r="653" spans="1:3" x14ac:dyDescent="0.5">
      <c r="A653">
        <v>1991</v>
      </c>
      <c r="B653" t="s">
        <v>5</v>
      </c>
      <c r="C653">
        <v>39</v>
      </c>
    </row>
    <row r="654" spans="1:3" x14ac:dyDescent="0.5">
      <c r="A654">
        <v>1992</v>
      </c>
      <c r="B654" t="s">
        <v>5</v>
      </c>
      <c r="C654">
        <v>30</v>
      </c>
    </row>
    <row r="655" spans="1:3" x14ac:dyDescent="0.5">
      <c r="A655">
        <v>1993</v>
      </c>
      <c r="B655" t="s">
        <v>5</v>
      </c>
      <c r="C655">
        <v>34</v>
      </c>
    </row>
    <row r="656" spans="1:3" x14ac:dyDescent="0.5">
      <c r="A656">
        <v>1994</v>
      </c>
      <c r="B656" t="s">
        <v>5</v>
      </c>
      <c r="C656">
        <v>32</v>
      </c>
    </row>
    <row r="657" spans="1:3" x14ac:dyDescent="0.5">
      <c r="A657">
        <v>1995</v>
      </c>
      <c r="B657" t="s">
        <v>5</v>
      </c>
      <c r="C657">
        <v>44</v>
      </c>
    </row>
    <row r="658" spans="1:3" x14ac:dyDescent="0.5">
      <c r="A658">
        <v>1996</v>
      </c>
      <c r="B658" t="s">
        <v>5</v>
      </c>
      <c r="C658">
        <v>34</v>
      </c>
    </row>
    <row r="659" spans="1:3" x14ac:dyDescent="0.5">
      <c r="A659">
        <v>1997</v>
      </c>
      <c r="B659" t="s">
        <v>5</v>
      </c>
      <c r="C659">
        <v>53</v>
      </c>
    </row>
    <row r="660" spans="1:3" x14ac:dyDescent="0.5">
      <c r="A660">
        <v>1998</v>
      </c>
      <c r="B660" t="s">
        <v>5</v>
      </c>
      <c r="C660">
        <v>72</v>
      </c>
    </row>
    <row r="661" spans="1:3" x14ac:dyDescent="0.5">
      <c r="A661">
        <v>1999</v>
      </c>
      <c r="B661" t="s">
        <v>5</v>
      </c>
      <c r="C661">
        <v>26</v>
      </c>
    </row>
    <row r="662" spans="1:3" x14ac:dyDescent="0.5">
      <c r="A662">
        <v>2000</v>
      </c>
      <c r="B662" t="s">
        <v>5</v>
      </c>
      <c r="C662">
        <v>28</v>
      </c>
    </row>
    <row r="663" spans="1:3" x14ac:dyDescent="0.5">
      <c r="A663">
        <v>2001</v>
      </c>
      <c r="B663" t="s">
        <v>5</v>
      </c>
      <c r="C663">
        <v>45</v>
      </c>
    </row>
    <row r="664" spans="1:3" x14ac:dyDescent="0.5">
      <c r="A664">
        <v>2002</v>
      </c>
      <c r="B664" t="s">
        <v>5</v>
      </c>
      <c r="C664">
        <v>61</v>
      </c>
    </row>
    <row r="665" spans="1:3" x14ac:dyDescent="0.5">
      <c r="A665">
        <v>2003</v>
      </c>
      <c r="B665" t="s">
        <v>5</v>
      </c>
      <c r="C665">
        <v>64</v>
      </c>
    </row>
    <row r="666" spans="1:3" x14ac:dyDescent="0.5">
      <c r="A666">
        <v>2004</v>
      </c>
      <c r="B666" t="s">
        <v>5</v>
      </c>
      <c r="C666">
        <v>57</v>
      </c>
    </row>
    <row r="667" spans="1:3" x14ac:dyDescent="0.5">
      <c r="A667">
        <v>2005</v>
      </c>
      <c r="B667" t="s">
        <v>5</v>
      </c>
      <c r="C667">
        <v>65</v>
      </c>
    </row>
    <row r="668" spans="1:3" x14ac:dyDescent="0.5">
      <c r="A668">
        <v>2006</v>
      </c>
      <c r="B668" t="s">
        <v>5</v>
      </c>
      <c r="C668">
        <v>56</v>
      </c>
    </row>
    <row r="669" spans="1:3" x14ac:dyDescent="0.5">
      <c r="A669">
        <v>2007</v>
      </c>
      <c r="B669" t="s">
        <v>5</v>
      </c>
      <c r="C669">
        <v>47</v>
      </c>
    </row>
    <row r="670" spans="1:3" x14ac:dyDescent="0.5">
      <c r="A670">
        <v>2008</v>
      </c>
      <c r="B670" t="s">
        <v>5</v>
      </c>
      <c r="C670">
        <v>39</v>
      </c>
    </row>
    <row r="671" spans="1:3" x14ac:dyDescent="0.5">
      <c r="A671">
        <v>2009</v>
      </c>
      <c r="B671" t="s">
        <v>5</v>
      </c>
      <c r="C671">
        <v>68</v>
      </c>
    </row>
    <row r="672" spans="1:3" x14ac:dyDescent="0.5">
      <c r="A672">
        <v>2010</v>
      </c>
      <c r="B672" t="s">
        <v>5</v>
      </c>
      <c r="C672">
        <v>69</v>
      </c>
    </row>
    <row r="673" spans="1:3" x14ac:dyDescent="0.5">
      <c r="A673">
        <v>2011</v>
      </c>
      <c r="B673" t="s">
        <v>5</v>
      </c>
      <c r="C673">
        <v>37</v>
      </c>
    </row>
    <row r="674" spans="1:3" x14ac:dyDescent="0.5">
      <c r="A674">
        <v>2012</v>
      </c>
      <c r="B674" t="s">
        <v>5</v>
      </c>
      <c r="C674">
        <v>51</v>
      </c>
    </row>
    <row r="675" spans="1:3" x14ac:dyDescent="0.5">
      <c r="A675">
        <v>2013</v>
      </c>
      <c r="B675" t="s">
        <v>5</v>
      </c>
      <c r="C675">
        <v>58</v>
      </c>
    </row>
    <row r="676" spans="1:3" x14ac:dyDescent="0.5">
      <c r="A676">
        <v>2014</v>
      </c>
      <c r="B676" t="s">
        <v>5</v>
      </c>
      <c r="C676">
        <v>67</v>
      </c>
    </row>
    <row r="677" spans="1:3" x14ac:dyDescent="0.5">
      <c r="A677">
        <v>1880</v>
      </c>
      <c r="B677" t="s">
        <v>6</v>
      </c>
      <c r="C677">
        <v>-5</v>
      </c>
    </row>
    <row r="678" spans="1:3" x14ac:dyDescent="0.5">
      <c r="A678">
        <v>1881</v>
      </c>
      <c r="B678" t="s">
        <v>6</v>
      </c>
      <c r="C678">
        <v>-5</v>
      </c>
    </row>
    <row r="679" spans="1:3" x14ac:dyDescent="0.5">
      <c r="A679">
        <v>1882</v>
      </c>
      <c r="B679" t="s">
        <v>6</v>
      </c>
      <c r="C679">
        <v>4</v>
      </c>
    </row>
    <row r="680" spans="1:3" x14ac:dyDescent="0.5">
      <c r="A680">
        <v>1883</v>
      </c>
      <c r="B680" t="s">
        <v>6</v>
      </c>
      <c r="C680">
        <v>-2</v>
      </c>
    </row>
    <row r="681" spans="1:3" x14ac:dyDescent="0.5">
      <c r="A681">
        <v>1884</v>
      </c>
      <c r="B681" t="s">
        <v>6</v>
      </c>
      <c r="C681">
        <v>-11</v>
      </c>
    </row>
    <row r="682" spans="1:3" x14ac:dyDescent="0.5">
      <c r="A682">
        <v>1885</v>
      </c>
      <c r="B682" t="s">
        <v>6</v>
      </c>
      <c r="C682">
        <v>-20</v>
      </c>
    </row>
    <row r="683" spans="1:3" x14ac:dyDescent="0.5">
      <c r="A683">
        <v>1886</v>
      </c>
      <c r="B683" t="s">
        <v>6</v>
      </c>
      <c r="C683">
        <v>-20</v>
      </c>
    </row>
    <row r="684" spans="1:3" x14ac:dyDescent="0.5">
      <c r="A684">
        <v>1887</v>
      </c>
      <c r="B684" t="s">
        <v>6</v>
      </c>
      <c r="C684">
        <v>-26</v>
      </c>
    </row>
    <row r="685" spans="1:3" x14ac:dyDescent="0.5">
      <c r="A685">
        <v>1888</v>
      </c>
      <c r="B685" t="s">
        <v>6</v>
      </c>
      <c r="C685">
        <v>-33</v>
      </c>
    </row>
    <row r="686" spans="1:3" x14ac:dyDescent="0.5">
      <c r="A686">
        <v>1889</v>
      </c>
      <c r="B686" t="s">
        <v>6</v>
      </c>
      <c r="C686">
        <v>-17</v>
      </c>
    </row>
    <row r="687" spans="1:3" x14ac:dyDescent="0.5">
      <c r="A687">
        <v>1890</v>
      </c>
      <c r="B687" t="s">
        <v>6</v>
      </c>
      <c r="C687">
        <v>-26</v>
      </c>
    </row>
    <row r="688" spans="1:3" x14ac:dyDescent="0.5">
      <c r="A688">
        <v>1891</v>
      </c>
      <c r="B688" t="s">
        <v>6</v>
      </c>
      <c r="C688">
        <v>-23</v>
      </c>
    </row>
    <row r="689" spans="1:3" x14ac:dyDescent="0.5">
      <c r="A689">
        <v>1892</v>
      </c>
      <c r="B689" t="s">
        <v>6</v>
      </c>
      <c r="C689">
        <v>-16</v>
      </c>
    </row>
    <row r="690" spans="1:3" x14ac:dyDescent="0.5">
      <c r="A690">
        <v>1893</v>
      </c>
      <c r="B690" t="s">
        <v>6</v>
      </c>
      <c r="C690">
        <v>-7</v>
      </c>
    </row>
    <row r="691" spans="1:3" x14ac:dyDescent="0.5">
      <c r="A691">
        <v>1894</v>
      </c>
      <c r="B691" t="s">
        <v>6</v>
      </c>
      <c r="C691">
        <v>-22</v>
      </c>
    </row>
    <row r="692" spans="1:3" x14ac:dyDescent="0.5">
      <c r="A692">
        <v>1895</v>
      </c>
      <c r="B692" t="s">
        <v>6</v>
      </c>
      <c r="C692">
        <v>-19</v>
      </c>
    </row>
    <row r="693" spans="1:3" x14ac:dyDescent="0.5">
      <c r="A693">
        <v>1896</v>
      </c>
      <c r="B693" t="s">
        <v>6</v>
      </c>
      <c r="C693">
        <v>-18</v>
      </c>
    </row>
    <row r="694" spans="1:3" x14ac:dyDescent="0.5">
      <c r="A694">
        <v>1897</v>
      </c>
      <c r="B694" t="s">
        <v>6</v>
      </c>
      <c r="C694">
        <v>-28</v>
      </c>
    </row>
    <row r="695" spans="1:3" x14ac:dyDescent="0.5">
      <c r="A695">
        <v>1898</v>
      </c>
      <c r="B695" t="s">
        <v>6</v>
      </c>
      <c r="C695">
        <v>-29</v>
      </c>
    </row>
    <row r="696" spans="1:3" x14ac:dyDescent="0.5">
      <c r="A696">
        <v>1899</v>
      </c>
      <c r="B696" t="s">
        <v>6</v>
      </c>
      <c r="C696">
        <v>-17</v>
      </c>
    </row>
    <row r="697" spans="1:3" x14ac:dyDescent="0.5">
      <c r="A697">
        <v>1900</v>
      </c>
      <c r="B697" t="s">
        <v>6</v>
      </c>
      <c r="C697">
        <v>-34</v>
      </c>
    </row>
    <row r="698" spans="1:3" x14ac:dyDescent="0.5">
      <c r="A698">
        <v>1901</v>
      </c>
      <c r="B698" t="s">
        <v>6</v>
      </c>
      <c r="C698">
        <v>-28</v>
      </c>
    </row>
    <row r="699" spans="1:3" x14ac:dyDescent="0.5">
      <c r="A699">
        <v>1902</v>
      </c>
      <c r="B699" t="s">
        <v>6</v>
      </c>
      <c r="C699">
        <v>-33</v>
      </c>
    </row>
    <row r="700" spans="1:3" x14ac:dyDescent="0.5">
      <c r="A700">
        <v>1903</v>
      </c>
      <c r="B700" t="s">
        <v>6</v>
      </c>
      <c r="C700">
        <v>-33</v>
      </c>
    </row>
    <row r="701" spans="1:3" x14ac:dyDescent="0.5">
      <c r="A701">
        <v>1904</v>
      </c>
      <c r="B701" t="s">
        <v>6</v>
      </c>
      <c r="C701">
        <v>-38</v>
      </c>
    </row>
    <row r="702" spans="1:3" x14ac:dyDescent="0.5">
      <c r="A702">
        <v>1905</v>
      </c>
      <c r="B702" t="s">
        <v>6</v>
      </c>
      <c r="C702">
        <v>-36</v>
      </c>
    </row>
    <row r="703" spans="1:3" x14ac:dyDescent="0.5">
      <c r="A703">
        <v>1906</v>
      </c>
      <c r="B703" t="s">
        <v>6</v>
      </c>
      <c r="C703">
        <v>-24</v>
      </c>
    </row>
    <row r="704" spans="1:3" x14ac:dyDescent="0.5">
      <c r="A704">
        <v>1907</v>
      </c>
      <c r="B704" t="s">
        <v>6</v>
      </c>
      <c r="C704">
        <v>-28</v>
      </c>
    </row>
    <row r="705" spans="1:3" x14ac:dyDescent="0.5">
      <c r="A705">
        <v>1908</v>
      </c>
      <c r="B705" t="s">
        <v>6</v>
      </c>
      <c r="C705">
        <v>-33</v>
      </c>
    </row>
    <row r="706" spans="1:3" x14ac:dyDescent="0.5">
      <c r="A706">
        <v>1909</v>
      </c>
      <c r="B706" t="s">
        <v>6</v>
      </c>
      <c r="C706">
        <v>-40</v>
      </c>
    </row>
    <row r="707" spans="1:3" x14ac:dyDescent="0.5">
      <c r="A707">
        <v>1910</v>
      </c>
      <c r="B707" t="s">
        <v>6</v>
      </c>
      <c r="C707">
        <v>-32</v>
      </c>
    </row>
    <row r="708" spans="1:3" x14ac:dyDescent="0.5">
      <c r="A708">
        <v>1911</v>
      </c>
      <c r="B708" t="s">
        <v>6</v>
      </c>
      <c r="C708">
        <v>-47</v>
      </c>
    </row>
    <row r="709" spans="1:3" x14ac:dyDescent="0.5">
      <c r="A709">
        <v>1912</v>
      </c>
      <c r="B709" t="s">
        <v>6</v>
      </c>
      <c r="C709">
        <v>-30</v>
      </c>
    </row>
    <row r="710" spans="1:3" x14ac:dyDescent="0.5">
      <c r="A710">
        <v>1913</v>
      </c>
      <c r="B710" t="s">
        <v>6</v>
      </c>
      <c r="C710">
        <v>-31</v>
      </c>
    </row>
    <row r="711" spans="1:3" x14ac:dyDescent="0.5">
      <c r="A711">
        <v>1914</v>
      </c>
      <c r="B711" t="s">
        <v>6</v>
      </c>
      <c r="C711">
        <v>-19</v>
      </c>
    </row>
    <row r="712" spans="1:3" x14ac:dyDescent="0.5">
      <c r="A712">
        <v>1915</v>
      </c>
      <c r="B712" t="s">
        <v>6</v>
      </c>
      <c r="C712">
        <v>-18</v>
      </c>
    </row>
    <row r="713" spans="1:3" x14ac:dyDescent="0.5">
      <c r="A713">
        <v>1916</v>
      </c>
      <c r="B713" t="s">
        <v>6</v>
      </c>
      <c r="C713">
        <v>-22</v>
      </c>
    </row>
    <row r="714" spans="1:3" x14ac:dyDescent="0.5">
      <c r="A714">
        <v>1917</v>
      </c>
      <c r="B714" t="s">
        <v>6</v>
      </c>
      <c r="C714">
        <v>-9</v>
      </c>
    </row>
    <row r="715" spans="1:3" x14ac:dyDescent="0.5">
      <c r="A715">
        <v>1918</v>
      </c>
      <c r="B715" t="s">
        <v>6</v>
      </c>
      <c r="C715">
        <v>-14</v>
      </c>
    </row>
    <row r="716" spans="1:3" x14ac:dyDescent="0.5">
      <c r="A716">
        <v>1919</v>
      </c>
      <c r="B716" t="s">
        <v>6</v>
      </c>
      <c r="C716">
        <v>-13</v>
      </c>
    </row>
    <row r="717" spans="1:3" x14ac:dyDescent="0.5">
      <c r="A717">
        <v>1920</v>
      </c>
      <c r="B717" t="s">
        <v>6</v>
      </c>
      <c r="C717">
        <v>-30</v>
      </c>
    </row>
    <row r="718" spans="1:3" x14ac:dyDescent="0.5">
      <c r="A718">
        <v>1921</v>
      </c>
      <c r="B718" t="s">
        <v>6</v>
      </c>
      <c r="C718">
        <v>-35</v>
      </c>
    </row>
    <row r="719" spans="1:3" x14ac:dyDescent="0.5">
      <c r="A719">
        <v>1922</v>
      </c>
      <c r="B719" t="s">
        <v>6</v>
      </c>
      <c r="C719">
        <v>-25</v>
      </c>
    </row>
    <row r="720" spans="1:3" x14ac:dyDescent="0.5">
      <c r="A720">
        <v>1923</v>
      </c>
      <c r="B720" t="s">
        <v>6</v>
      </c>
      <c r="C720">
        <v>-28</v>
      </c>
    </row>
    <row r="721" spans="1:3" x14ac:dyDescent="0.5">
      <c r="A721">
        <v>1924</v>
      </c>
      <c r="B721" t="s">
        <v>6</v>
      </c>
      <c r="C721">
        <v>-47</v>
      </c>
    </row>
    <row r="722" spans="1:3" x14ac:dyDescent="0.5">
      <c r="A722">
        <v>1925</v>
      </c>
      <c r="B722" t="s">
        <v>6</v>
      </c>
      <c r="C722">
        <v>-36</v>
      </c>
    </row>
    <row r="723" spans="1:3" x14ac:dyDescent="0.5">
      <c r="A723">
        <v>1926</v>
      </c>
      <c r="B723" t="s">
        <v>6</v>
      </c>
      <c r="C723">
        <v>-38</v>
      </c>
    </row>
    <row r="724" spans="1:3" x14ac:dyDescent="0.5">
      <c r="A724">
        <v>1927</v>
      </c>
      <c r="B724" t="s">
        <v>6</v>
      </c>
      <c r="C724">
        <v>-37</v>
      </c>
    </row>
    <row r="725" spans="1:3" x14ac:dyDescent="0.5">
      <c r="A725">
        <v>1928</v>
      </c>
      <c r="B725" t="s">
        <v>6</v>
      </c>
      <c r="C725">
        <v>-46</v>
      </c>
    </row>
    <row r="726" spans="1:3" x14ac:dyDescent="0.5">
      <c r="A726">
        <v>1929</v>
      </c>
      <c r="B726" t="s">
        <v>6</v>
      </c>
      <c r="C726">
        <v>-48</v>
      </c>
    </row>
    <row r="727" spans="1:3" x14ac:dyDescent="0.5">
      <c r="A727">
        <v>1930</v>
      </c>
      <c r="B727" t="s">
        <v>6</v>
      </c>
      <c r="C727">
        <v>-38</v>
      </c>
    </row>
    <row r="728" spans="1:3" x14ac:dyDescent="0.5">
      <c r="A728">
        <v>1931</v>
      </c>
      <c r="B728" t="s">
        <v>6</v>
      </c>
      <c r="C728">
        <v>-38</v>
      </c>
    </row>
    <row r="729" spans="1:3" x14ac:dyDescent="0.5">
      <c r="A729">
        <v>1932</v>
      </c>
      <c r="B729" t="s">
        <v>6</v>
      </c>
      <c r="C729">
        <v>-38</v>
      </c>
    </row>
    <row r="730" spans="1:3" x14ac:dyDescent="0.5">
      <c r="A730">
        <v>1933</v>
      </c>
      <c r="B730" t="s">
        <v>6</v>
      </c>
      <c r="C730">
        <v>-33</v>
      </c>
    </row>
    <row r="731" spans="1:3" x14ac:dyDescent="0.5">
      <c r="A731">
        <v>1934</v>
      </c>
      <c r="B731" t="s">
        <v>6</v>
      </c>
      <c r="C731">
        <v>-28</v>
      </c>
    </row>
    <row r="732" spans="1:3" x14ac:dyDescent="0.5">
      <c r="A732">
        <v>1935</v>
      </c>
      <c r="B732" t="s">
        <v>6</v>
      </c>
      <c r="C732">
        <v>-33</v>
      </c>
    </row>
    <row r="733" spans="1:3" x14ac:dyDescent="0.5">
      <c r="A733">
        <v>1936</v>
      </c>
      <c r="B733" t="s">
        <v>6</v>
      </c>
      <c r="C733">
        <v>-27</v>
      </c>
    </row>
    <row r="734" spans="1:3" x14ac:dyDescent="0.5">
      <c r="A734">
        <v>1937</v>
      </c>
      <c r="B734" t="s">
        <v>6</v>
      </c>
      <c r="C734">
        <v>-18</v>
      </c>
    </row>
    <row r="735" spans="1:3" x14ac:dyDescent="0.5">
      <c r="A735">
        <v>1938</v>
      </c>
      <c r="B735" t="s">
        <v>6</v>
      </c>
      <c r="C735">
        <v>-10</v>
      </c>
    </row>
    <row r="736" spans="1:3" x14ac:dyDescent="0.5">
      <c r="A736">
        <v>1939</v>
      </c>
      <c r="B736" t="s">
        <v>6</v>
      </c>
      <c r="C736">
        <v>-9</v>
      </c>
    </row>
    <row r="737" spans="1:3" x14ac:dyDescent="0.5">
      <c r="A737">
        <v>1940</v>
      </c>
      <c r="B737" t="s">
        <v>6</v>
      </c>
      <c r="C737">
        <v>-7</v>
      </c>
    </row>
    <row r="738" spans="1:3" x14ac:dyDescent="0.5">
      <c r="A738">
        <v>1941</v>
      </c>
      <c r="B738" t="s">
        <v>6</v>
      </c>
      <c r="C738">
        <v>-6</v>
      </c>
    </row>
    <row r="739" spans="1:3" x14ac:dyDescent="0.5">
      <c r="A739">
        <v>1942</v>
      </c>
      <c r="B739" t="s">
        <v>6</v>
      </c>
      <c r="C739">
        <v>1</v>
      </c>
    </row>
    <row r="740" spans="1:3" x14ac:dyDescent="0.5">
      <c r="A740">
        <v>1943</v>
      </c>
      <c r="B740" t="s">
        <v>6</v>
      </c>
      <c r="C740">
        <v>9</v>
      </c>
    </row>
    <row r="741" spans="1:3" x14ac:dyDescent="0.5">
      <c r="A741">
        <v>1944</v>
      </c>
      <c r="B741" t="s">
        <v>6</v>
      </c>
      <c r="C741">
        <v>18</v>
      </c>
    </row>
    <row r="742" spans="1:3" x14ac:dyDescent="0.5">
      <c r="A742">
        <v>1945</v>
      </c>
      <c r="B742" t="s">
        <v>6</v>
      </c>
      <c r="C742">
        <v>3</v>
      </c>
    </row>
    <row r="743" spans="1:3" x14ac:dyDescent="0.5">
      <c r="A743">
        <v>1946</v>
      </c>
      <c r="B743" t="s">
        <v>6</v>
      </c>
      <c r="C743">
        <v>-16</v>
      </c>
    </row>
    <row r="744" spans="1:3" x14ac:dyDescent="0.5">
      <c r="A744">
        <v>1947</v>
      </c>
      <c r="B744" t="s">
        <v>6</v>
      </c>
      <c r="C744">
        <v>-13</v>
      </c>
    </row>
    <row r="745" spans="1:3" x14ac:dyDescent="0.5">
      <c r="A745">
        <v>1948</v>
      </c>
      <c r="B745" t="s">
        <v>6</v>
      </c>
      <c r="C745">
        <v>-20</v>
      </c>
    </row>
    <row r="746" spans="1:3" x14ac:dyDescent="0.5">
      <c r="A746">
        <v>1949</v>
      </c>
      <c r="B746" t="s">
        <v>6</v>
      </c>
      <c r="C746">
        <v>-19</v>
      </c>
    </row>
    <row r="747" spans="1:3" x14ac:dyDescent="0.5">
      <c r="A747">
        <v>1950</v>
      </c>
      <c r="B747" t="s">
        <v>6</v>
      </c>
      <c r="C747">
        <v>-14</v>
      </c>
    </row>
    <row r="748" spans="1:3" x14ac:dyDescent="0.5">
      <c r="A748">
        <v>1951</v>
      </c>
      <c r="B748" t="s">
        <v>6</v>
      </c>
      <c r="C748">
        <v>-22</v>
      </c>
    </row>
    <row r="749" spans="1:3" x14ac:dyDescent="0.5">
      <c r="A749">
        <v>1952</v>
      </c>
      <c r="B749" t="s">
        <v>6</v>
      </c>
      <c r="C749">
        <v>-7</v>
      </c>
    </row>
    <row r="750" spans="1:3" x14ac:dyDescent="0.5">
      <c r="A750">
        <v>1953</v>
      </c>
      <c r="B750" t="s">
        <v>6</v>
      </c>
      <c r="C750">
        <v>-14</v>
      </c>
    </row>
    <row r="751" spans="1:3" x14ac:dyDescent="0.5">
      <c r="A751">
        <v>1954</v>
      </c>
      <c r="B751" t="s">
        <v>6</v>
      </c>
      <c r="C751">
        <v>-14</v>
      </c>
    </row>
    <row r="752" spans="1:3" x14ac:dyDescent="0.5">
      <c r="A752">
        <v>1955</v>
      </c>
      <c r="B752" t="s">
        <v>6</v>
      </c>
      <c r="C752">
        <v>-7</v>
      </c>
    </row>
    <row r="753" spans="1:3" x14ac:dyDescent="0.5">
      <c r="A753">
        <v>1956</v>
      </c>
      <c r="B753" t="s">
        <v>6</v>
      </c>
      <c r="C753">
        <v>1</v>
      </c>
    </row>
    <row r="754" spans="1:3" x14ac:dyDescent="0.5">
      <c r="A754">
        <v>1957</v>
      </c>
      <c r="B754" t="s">
        <v>6</v>
      </c>
      <c r="C754">
        <v>-1</v>
      </c>
    </row>
    <row r="755" spans="1:3" x14ac:dyDescent="0.5">
      <c r="A755">
        <v>1958</v>
      </c>
      <c r="B755" t="s">
        <v>6</v>
      </c>
      <c r="C755">
        <v>-17</v>
      </c>
    </row>
    <row r="756" spans="1:3" x14ac:dyDescent="0.5">
      <c r="A756">
        <v>1959</v>
      </c>
      <c r="B756" t="s">
        <v>6</v>
      </c>
      <c r="C756">
        <v>-13</v>
      </c>
    </row>
    <row r="757" spans="1:3" x14ac:dyDescent="0.5">
      <c r="A757">
        <v>1960</v>
      </c>
      <c r="B757" t="s">
        <v>6</v>
      </c>
      <c r="C757">
        <v>-20</v>
      </c>
    </row>
    <row r="758" spans="1:3" x14ac:dyDescent="0.5">
      <c r="A758">
        <v>1961</v>
      </c>
      <c r="B758" t="s">
        <v>6</v>
      </c>
      <c r="C758">
        <v>4</v>
      </c>
    </row>
    <row r="759" spans="1:3" x14ac:dyDescent="0.5">
      <c r="A759">
        <v>1962</v>
      </c>
      <c r="B759" t="s">
        <v>6</v>
      </c>
      <c r="C759">
        <v>-13</v>
      </c>
    </row>
    <row r="760" spans="1:3" x14ac:dyDescent="0.5">
      <c r="A760">
        <v>1963</v>
      </c>
      <c r="B760" t="s">
        <v>6</v>
      </c>
      <c r="C760">
        <v>-12</v>
      </c>
    </row>
    <row r="761" spans="1:3" x14ac:dyDescent="0.5">
      <c r="A761">
        <v>1964</v>
      </c>
      <c r="B761" t="s">
        <v>6</v>
      </c>
      <c r="C761">
        <v>-26</v>
      </c>
    </row>
    <row r="762" spans="1:3" x14ac:dyDescent="0.5">
      <c r="A762">
        <v>1965</v>
      </c>
      <c r="B762" t="s">
        <v>6</v>
      </c>
      <c r="C762">
        <v>-12</v>
      </c>
    </row>
    <row r="763" spans="1:3" x14ac:dyDescent="0.5">
      <c r="A763">
        <v>1966</v>
      </c>
      <c r="B763" t="s">
        <v>6</v>
      </c>
      <c r="C763">
        <v>-16</v>
      </c>
    </row>
    <row r="764" spans="1:3" x14ac:dyDescent="0.5">
      <c r="A764">
        <v>1967</v>
      </c>
      <c r="B764" t="s">
        <v>6</v>
      </c>
      <c r="C764">
        <v>-2</v>
      </c>
    </row>
    <row r="765" spans="1:3" x14ac:dyDescent="0.5">
      <c r="A765">
        <v>1968</v>
      </c>
      <c r="B765" t="s">
        <v>6</v>
      </c>
      <c r="C765">
        <v>-8</v>
      </c>
    </row>
    <row r="766" spans="1:3" x14ac:dyDescent="0.5">
      <c r="A766">
        <v>1969</v>
      </c>
      <c r="B766" t="s">
        <v>6</v>
      </c>
      <c r="C766">
        <v>4</v>
      </c>
    </row>
    <row r="767" spans="1:3" x14ac:dyDescent="0.5">
      <c r="A767">
        <v>1970</v>
      </c>
      <c r="B767" t="s">
        <v>6</v>
      </c>
      <c r="C767">
        <v>11</v>
      </c>
    </row>
    <row r="768" spans="1:3" x14ac:dyDescent="0.5">
      <c r="A768">
        <v>1971</v>
      </c>
      <c r="B768" t="s">
        <v>6</v>
      </c>
      <c r="C768">
        <v>9</v>
      </c>
    </row>
    <row r="769" spans="1:3" x14ac:dyDescent="0.5">
      <c r="A769">
        <v>1972</v>
      </c>
      <c r="B769" t="s">
        <v>6</v>
      </c>
      <c r="C769">
        <v>16</v>
      </c>
    </row>
    <row r="770" spans="1:3" x14ac:dyDescent="0.5">
      <c r="A770">
        <v>1973</v>
      </c>
      <c r="B770" t="s">
        <v>6</v>
      </c>
      <c r="C770">
        <v>14</v>
      </c>
    </row>
    <row r="771" spans="1:3" x14ac:dyDescent="0.5">
      <c r="A771">
        <v>1974</v>
      </c>
      <c r="B771" t="s">
        <v>6</v>
      </c>
      <c r="C771">
        <v>17</v>
      </c>
    </row>
    <row r="772" spans="1:3" x14ac:dyDescent="0.5">
      <c r="A772">
        <v>1975</v>
      </c>
      <c r="B772" t="s">
        <v>6</v>
      </c>
      <c r="C772">
        <v>12</v>
      </c>
    </row>
    <row r="773" spans="1:3" x14ac:dyDescent="0.5">
      <c r="A773">
        <v>1976</v>
      </c>
      <c r="B773" t="s">
        <v>6</v>
      </c>
      <c r="C773">
        <v>2</v>
      </c>
    </row>
    <row r="774" spans="1:3" x14ac:dyDescent="0.5">
      <c r="A774">
        <v>1977</v>
      </c>
      <c r="B774" t="s">
        <v>6</v>
      </c>
      <c r="C774">
        <v>25</v>
      </c>
    </row>
    <row r="775" spans="1:3" x14ac:dyDescent="0.5">
      <c r="A775">
        <v>1978</v>
      </c>
      <c r="B775" t="s">
        <v>6</v>
      </c>
      <c r="C775">
        <v>15</v>
      </c>
    </row>
    <row r="776" spans="1:3" x14ac:dyDescent="0.5">
      <c r="A776">
        <v>1979</v>
      </c>
      <c r="B776" t="s">
        <v>6</v>
      </c>
      <c r="C776">
        <v>25</v>
      </c>
    </row>
    <row r="777" spans="1:3" x14ac:dyDescent="0.5">
      <c r="A777">
        <v>1980</v>
      </c>
      <c r="B777" t="s">
        <v>6</v>
      </c>
      <c r="C777">
        <v>46</v>
      </c>
    </row>
    <row r="778" spans="1:3" x14ac:dyDescent="0.5">
      <c r="A778">
        <v>1981</v>
      </c>
      <c r="B778" t="s">
        <v>6</v>
      </c>
      <c r="C778">
        <v>35</v>
      </c>
    </row>
    <row r="779" spans="1:3" x14ac:dyDescent="0.5">
      <c r="A779">
        <v>1982</v>
      </c>
      <c r="B779" t="s">
        <v>6</v>
      </c>
      <c r="C779">
        <v>14</v>
      </c>
    </row>
    <row r="780" spans="1:3" x14ac:dyDescent="0.5">
      <c r="A780">
        <v>1983</v>
      </c>
      <c r="B780" t="s">
        <v>6</v>
      </c>
      <c r="C780">
        <v>20</v>
      </c>
    </row>
    <row r="781" spans="1:3" x14ac:dyDescent="0.5">
      <c r="A781">
        <v>1984</v>
      </c>
      <c r="B781" t="s">
        <v>6</v>
      </c>
      <c r="C781">
        <v>25</v>
      </c>
    </row>
    <row r="782" spans="1:3" x14ac:dyDescent="0.5">
      <c r="A782">
        <v>1985</v>
      </c>
      <c r="B782" t="s">
        <v>6</v>
      </c>
      <c r="C782">
        <v>29</v>
      </c>
    </row>
    <row r="783" spans="1:3" x14ac:dyDescent="0.5">
      <c r="A783">
        <v>1986</v>
      </c>
      <c r="B783" t="s">
        <v>6</v>
      </c>
      <c r="C783">
        <v>21</v>
      </c>
    </row>
    <row r="784" spans="1:3" x14ac:dyDescent="0.5">
      <c r="A784">
        <v>1987</v>
      </c>
      <c r="B784" t="s">
        <v>6</v>
      </c>
      <c r="C784">
        <v>27</v>
      </c>
    </row>
    <row r="785" spans="1:3" x14ac:dyDescent="0.5">
      <c r="A785">
        <v>1988</v>
      </c>
      <c r="B785" t="s">
        <v>6</v>
      </c>
      <c r="C785">
        <v>42</v>
      </c>
    </row>
    <row r="786" spans="1:3" x14ac:dyDescent="0.5">
      <c r="A786">
        <v>1989</v>
      </c>
      <c r="B786" t="s">
        <v>6</v>
      </c>
      <c r="C786">
        <v>33</v>
      </c>
    </row>
    <row r="787" spans="1:3" x14ac:dyDescent="0.5">
      <c r="A787">
        <v>1990</v>
      </c>
      <c r="B787" t="s">
        <v>6</v>
      </c>
      <c r="C787">
        <v>35</v>
      </c>
    </row>
    <row r="788" spans="1:3" x14ac:dyDescent="0.5">
      <c r="A788">
        <v>1991</v>
      </c>
      <c r="B788" t="s">
        <v>6</v>
      </c>
      <c r="C788">
        <v>43</v>
      </c>
    </row>
    <row r="789" spans="1:3" x14ac:dyDescent="0.5">
      <c r="A789">
        <v>1992</v>
      </c>
      <c r="B789" t="s">
        <v>6</v>
      </c>
      <c r="C789">
        <v>28</v>
      </c>
    </row>
    <row r="790" spans="1:3" x14ac:dyDescent="0.5">
      <c r="A790">
        <v>1993</v>
      </c>
      <c r="B790" t="s">
        <v>6</v>
      </c>
      <c r="C790">
        <v>23</v>
      </c>
    </row>
    <row r="791" spans="1:3" x14ac:dyDescent="0.5">
      <c r="A791">
        <v>1994</v>
      </c>
      <c r="B791" t="s">
        <v>6</v>
      </c>
      <c r="C791">
        <v>21</v>
      </c>
    </row>
    <row r="792" spans="1:3" x14ac:dyDescent="0.5">
      <c r="A792">
        <v>1995</v>
      </c>
      <c r="B792" t="s">
        <v>6</v>
      </c>
      <c r="C792">
        <v>23</v>
      </c>
    </row>
    <row r="793" spans="1:3" x14ac:dyDescent="0.5">
      <c r="A793">
        <v>1996</v>
      </c>
      <c r="B793" t="s">
        <v>6</v>
      </c>
      <c r="C793">
        <v>45</v>
      </c>
    </row>
    <row r="794" spans="1:3" x14ac:dyDescent="0.5">
      <c r="A794">
        <v>1997</v>
      </c>
      <c r="B794" t="s">
        <v>6</v>
      </c>
      <c r="C794">
        <v>34</v>
      </c>
    </row>
    <row r="795" spans="1:3" x14ac:dyDescent="0.5">
      <c r="A795">
        <v>1998</v>
      </c>
      <c r="B795" t="s">
        <v>6</v>
      </c>
      <c r="C795">
        <v>36</v>
      </c>
    </row>
    <row r="796" spans="1:3" x14ac:dyDescent="0.5">
      <c r="A796">
        <v>1999</v>
      </c>
      <c r="B796" t="s">
        <v>6</v>
      </c>
      <c r="C796">
        <v>32</v>
      </c>
    </row>
    <row r="797" spans="1:3" x14ac:dyDescent="0.5">
      <c r="A797">
        <v>2000</v>
      </c>
      <c r="B797" t="s">
        <v>6</v>
      </c>
      <c r="C797">
        <v>33</v>
      </c>
    </row>
    <row r="798" spans="1:3" x14ac:dyDescent="0.5">
      <c r="A798">
        <v>2001</v>
      </c>
      <c r="B798" t="s">
        <v>6</v>
      </c>
      <c r="C798">
        <v>44</v>
      </c>
    </row>
    <row r="799" spans="1:3" x14ac:dyDescent="0.5">
      <c r="A799">
        <v>2002</v>
      </c>
      <c r="B799" t="s">
        <v>6</v>
      </c>
      <c r="C799">
        <v>48</v>
      </c>
    </row>
    <row r="800" spans="1:3" x14ac:dyDescent="0.5">
      <c r="A800">
        <v>2003</v>
      </c>
      <c r="B800" t="s">
        <v>6</v>
      </c>
      <c r="C800">
        <v>41</v>
      </c>
    </row>
    <row r="801" spans="1:3" x14ac:dyDescent="0.5">
      <c r="A801">
        <v>2004</v>
      </c>
      <c r="B801" t="s">
        <v>6</v>
      </c>
      <c r="C801">
        <v>32</v>
      </c>
    </row>
    <row r="802" spans="1:3" x14ac:dyDescent="0.5">
      <c r="A802">
        <v>2005</v>
      </c>
      <c r="B802" t="s">
        <v>6</v>
      </c>
      <c r="C802">
        <v>45</v>
      </c>
    </row>
    <row r="803" spans="1:3" x14ac:dyDescent="0.5">
      <c r="A803">
        <v>2006</v>
      </c>
      <c r="B803" t="s">
        <v>6</v>
      </c>
      <c r="C803">
        <v>40</v>
      </c>
    </row>
    <row r="804" spans="1:3" x14ac:dyDescent="0.5">
      <c r="A804">
        <v>2007</v>
      </c>
      <c r="B804" t="s">
        <v>6</v>
      </c>
      <c r="C804">
        <v>48</v>
      </c>
    </row>
    <row r="805" spans="1:3" x14ac:dyDescent="0.5">
      <c r="A805">
        <v>2008</v>
      </c>
      <c r="B805" t="s">
        <v>6</v>
      </c>
      <c r="C805">
        <v>40</v>
      </c>
    </row>
    <row r="806" spans="1:3" x14ac:dyDescent="0.5">
      <c r="A806">
        <v>2009</v>
      </c>
      <c r="B806" t="s">
        <v>6</v>
      </c>
      <c r="C806">
        <v>51</v>
      </c>
    </row>
    <row r="807" spans="1:3" x14ac:dyDescent="0.5">
      <c r="A807">
        <v>2010</v>
      </c>
      <c r="B807" t="s">
        <v>6</v>
      </c>
      <c r="C807">
        <v>48</v>
      </c>
    </row>
    <row r="808" spans="1:3" x14ac:dyDescent="0.5">
      <c r="A808">
        <v>2011</v>
      </c>
      <c r="B808" t="s">
        <v>6</v>
      </c>
      <c r="C808">
        <v>58</v>
      </c>
    </row>
    <row r="809" spans="1:3" x14ac:dyDescent="0.5">
      <c r="A809">
        <v>2012</v>
      </c>
      <c r="B809" t="s">
        <v>6</v>
      </c>
      <c r="C809">
        <v>44</v>
      </c>
    </row>
    <row r="810" spans="1:3" x14ac:dyDescent="0.5">
      <c r="A810">
        <v>2013</v>
      </c>
      <c r="B810" t="s">
        <v>6</v>
      </c>
      <c r="C810">
        <v>54</v>
      </c>
    </row>
    <row r="811" spans="1:3" x14ac:dyDescent="0.5">
      <c r="A811">
        <v>2014</v>
      </c>
      <c r="B811" t="s">
        <v>6</v>
      </c>
      <c r="C811">
        <v>54</v>
      </c>
    </row>
    <row r="812" spans="1:3" x14ac:dyDescent="0.5">
      <c r="A812">
        <v>1880</v>
      </c>
      <c r="B812" t="s">
        <v>7</v>
      </c>
      <c r="C812">
        <v>-89</v>
      </c>
    </row>
    <row r="813" spans="1:3" x14ac:dyDescent="0.5">
      <c r="A813">
        <v>1881</v>
      </c>
      <c r="B813" t="s">
        <v>7</v>
      </c>
      <c r="C813">
        <v>-54</v>
      </c>
    </row>
    <row r="814" spans="1:3" x14ac:dyDescent="0.5">
      <c r="A814">
        <v>1882</v>
      </c>
      <c r="B814" t="s">
        <v>7</v>
      </c>
      <c r="C814">
        <v>-125</v>
      </c>
    </row>
    <row r="815" spans="1:3" x14ac:dyDescent="0.5">
      <c r="A815">
        <v>1883</v>
      </c>
      <c r="B815" t="s">
        <v>7</v>
      </c>
      <c r="C815">
        <v>-28</v>
      </c>
    </row>
    <row r="816" spans="1:3" x14ac:dyDescent="0.5">
      <c r="A816">
        <v>1884</v>
      </c>
      <c r="B816" t="s">
        <v>7</v>
      </c>
      <c r="C816">
        <v>-127</v>
      </c>
    </row>
    <row r="817" spans="1:3" x14ac:dyDescent="0.5">
      <c r="A817">
        <v>1885</v>
      </c>
      <c r="B817" t="s">
        <v>7</v>
      </c>
      <c r="C817">
        <v>-119</v>
      </c>
    </row>
    <row r="818" spans="1:3" x14ac:dyDescent="0.5">
      <c r="A818">
        <v>1886</v>
      </c>
      <c r="B818" t="s">
        <v>7</v>
      </c>
      <c r="C818">
        <v>-124</v>
      </c>
    </row>
    <row r="819" spans="1:3" x14ac:dyDescent="0.5">
      <c r="A819">
        <v>1887</v>
      </c>
      <c r="B819" t="s">
        <v>7</v>
      </c>
      <c r="C819">
        <v>-158</v>
      </c>
    </row>
    <row r="820" spans="1:3" x14ac:dyDescent="0.5">
      <c r="A820">
        <v>1888</v>
      </c>
      <c r="B820" t="s">
        <v>7</v>
      </c>
      <c r="C820">
        <v>-141</v>
      </c>
    </row>
    <row r="821" spans="1:3" x14ac:dyDescent="0.5">
      <c r="A821">
        <v>1889</v>
      </c>
      <c r="B821" t="s">
        <v>7</v>
      </c>
      <c r="C821">
        <v>-82</v>
      </c>
    </row>
    <row r="822" spans="1:3" x14ac:dyDescent="0.5">
      <c r="A822">
        <v>1890</v>
      </c>
      <c r="B822" t="s">
        <v>7</v>
      </c>
      <c r="C822">
        <v>-127</v>
      </c>
    </row>
    <row r="823" spans="1:3" x14ac:dyDescent="0.5">
      <c r="A823">
        <v>1891</v>
      </c>
      <c r="B823" t="s">
        <v>7</v>
      </c>
      <c r="C823">
        <v>-118</v>
      </c>
    </row>
    <row r="824" spans="1:3" x14ac:dyDescent="0.5">
      <c r="A824">
        <v>1892</v>
      </c>
      <c r="B824" t="s">
        <v>7</v>
      </c>
      <c r="C824">
        <v>-119</v>
      </c>
    </row>
    <row r="825" spans="1:3" x14ac:dyDescent="0.5">
      <c r="A825">
        <v>1893</v>
      </c>
      <c r="B825" t="s">
        <v>7</v>
      </c>
      <c r="C825">
        <v>-76</v>
      </c>
    </row>
    <row r="826" spans="1:3" x14ac:dyDescent="0.5">
      <c r="A826">
        <v>1894</v>
      </c>
      <c r="B826" t="s">
        <v>7</v>
      </c>
      <c r="C826">
        <v>-121</v>
      </c>
    </row>
    <row r="827" spans="1:3" x14ac:dyDescent="0.5">
      <c r="A827">
        <v>1895</v>
      </c>
      <c r="B827" t="s">
        <v>7</v>
      </c>
      <c r="C827">
        <v>-86</v>
      </c>
    </row>
    <row r="828" spans="1:3" x14ac:dyDescent="0.5">
      <c r="A828">
        <v>1896</v>
      </c>
      <c r="B828" t="s">
        <v>7</v>
      </c>
      <c r="C828">
        <v>-113</v>
      </c>
    </row>
    <row r="829" spans="1:3" x14ac:dyDescent="0.5">
      <c r="A829">
        <v>1897</v>
      </c>
      <c r="B829" t="s">
        <v>7</v>
      </c>
      <c r="C829">
        <v>-73</v>
      </c>
    </row>
    <row r="830" spans="1:3" x14ac:dyDescent="0.5">
      <c r="A830">
        <v>1898</v>
      </c>
      <c r="B830" t="s">
        <v>7</v>
      </c>
      <c r="C830">
        <v>-121</v>
      </c>
    </row>
    <row r="831" spans="1:3" x14ac:dyDescent="0.5">
      <c r="A831">
        <v>1899</v>
      </c>
      <c r="B831" t="s">
        <v>7</v>
      </c>
      <c r="C831">
        <v>-99</v>
      </c>
    </row>
    <row r="832" spans="1:3" x14ac:dyDescent="0.5">
      <c r="A832">
        <v>1900</v>
      </c>
      <c r="B832" t="s">
        <v>7</v>
      </c>
      <c r="C832">
        <v>-50</v>
      </c>
    </row>
    <row r="833" spans="1:3" x14ac:dyDescent="0.5">
      <c r="A833">
        <v>1901</v>
      </c>
      <c r="B833" t="s">
        <v>7</v>
      </c>
      <c r="C833">
        <v>-41</v>
      </c>
    </row>
    <row r="834" spans="1:3" x14ac:dyDescent="0.5">
      <c r="A834">
        <v>1902</v>
      </c>
      <c r="B834" t="s">
        <v>7</v>
      </c>
      <c r="C834">
        <v>-145</v>
      </c>
    </row>
    <row r="835" spans="1:3" x14ac:dyDescent="0.5">
      <c r="A835">
        <v>1903</v>
      </c>
      <c r="B835" t="s">
        <v>7</v>
      </c>
      <c r="C835">
        <v>-37</v>
      </c>
    </row>
    <row r="836" spans="1:3" x14ac:dyDescent="0.5">
      <c r="A836">
        <v>1904</v>
      </c>
      <c r="B836" t="s">
        <v>7</v>
      </c>
      <c r="C836">
        <v>-23</v>
      </c>
    </row>
    <row r="837" spans="1:3" x14ac:dyDescent="0.5">
      <c r="A837">
        <v>1905</v>
      </c>
      <c r="B837" t="s">
        <v>7</v>
      </c>
      <c r="C837">
        <v>-12</v>
      </c>
    </row>
    <row r="838" spans="1:3" x14ac:dyDescent="0.5">
      <c r="A838">
        <v>1906</v>
      </c>
      <c r="B838" t="s">
        <v>7</v>
      </c>
      <c r="C838">
        <v>-29</v>
      </c>
    </row>
    <row r="839" spans="1:3" x14ac:dyDescent="0.5">
      <c r="A839">
        <v>1907</v>
      </c>
      <c r="B839" t="s">
        <v>7</v>
      </c>
      <c r="C839">
        <v>-68</v>
      </c>
    </row>
    <row r="840" spans="1:3" x14ac:dyDescent="0.5">
      <c r="A840">
        <v>1908</v>
      </c>
      <c r="B840" t="s">
        <v>7</v>
      </c>
      <c r="C840">
        <v>-39</v>
      </c>
    </row>
    <row r="841" spans="1:3" x14ac:dyDescent="0.5">
      <c r="A841">
        <v>1909</v>
      </c>
      <c r="B841" t="s">
        <v>7</v>
      </c>
      <c r="C841">
        <v>-72</v>
      </c>
    </row>
    <row r="842" spans="1:3" x14ac:dyDescent="0.5">
      <c r="A842">
        <v>1910</v>
      </c>
      <c r="B842" t="s">
        <v>7</v>
      </c>
      <c r="C842">
        <v>-62</v>
      </c>
    </row>
    <row r="843" spans="1:3" x14ac:dyDescent="0.5">
      <c r="A843">
        <v>1911</v>
      </c>
      <c r="B843" t="s">
        <v>7</v>
      </c>
      <c r="C843">
        <v>-24</v>
      </c>
    </row>
    <row r="844" spans="1:3" x14ac:dyDescent="0.5">
      <c r="A844">
        <v>1912</v>
      </c>
      <c r="B844" t="s">
        <v>7</v>
      </c>
      <c r="C844">
        <v>-60</v>
      </c>
    </row>
    <row r="845" spans="1:3" x14ac:dyDescent="0.5">
      <c r="A845">
        <v>1913</v>
      </c>
      <c r="B845" t="s">
        <v>7</v>
      </c>
      <c r="C845">
        <v>-51</v>
      </c>
    </row>
    <row r="846" spans="1:3" x14ac:dyDescent="0.5">
      <c r="A846">
        <v>1914</v>
      </c>
      <c r="B846" t="s">
        <v>7</v>
      </c>
      <c r="C846">
        <v>-50</v>
      </c>
    </row>
    <row r="847" spans="1:3" x14ac:dyDescent="0.5">
      <c r="A847">
        <v>1915</v>
      </c>
      <c r="B847" t="s">
        <v>7</v>
      </c>
      <c r="C847">
        <v>-50</v>
      </c>
    </row>
    <row r="848" spans="1:3" x14ac:dyDescent="0.5">
      <c r="A848">
        <v>1916</v>
      </c>
      <c r="B848" t="s">
        <v>7</v>
      </c>
      <c r="C848">
        <v>-25</v>
      </c>
    </row>
    <row r="849" spans="1:3" x14ac:dyDescent="0.5">
      <c r="A849">
        <v>1917</v>
      </c>
      <c r="B849" t="s">
        <v>7</v>
      </c>
      <c r="C849">
        <v>-64</v>
      </c>
    </row>
    <row r="850" spans="1:3" x14ac:dyDescent="0.5">
      <c r="A850">
        <v>1918</v>
      </c>
      <c r="B850" t="s">
        <v>7</v>
      </c>
      <c r="C850">
        <v>-108</v>
      </c>
    </row>
    <row r="851" spans="1:3" x14ac:dyDescent="0.5">
      <c r="A851">
        <v>1919</v>
      </c>
      <c r="B851" t="s">
        <v>7</v>
      </c>
      <c r="C851">
        <v>-80</v>
      </c>
    </row>
    <row r="852" spans="1:3" x14ac:dyDescent="0.5">
      <c r="A852">
        <v>1920</v>
      </c>
      <c r="B852" t="s">
        <v>7</v>
      </c>
      <c r="C852">
        <v>13</v>
      </c>
    </row>
    <row r="853" spans="1:3" x14ac:dyDescent="0.5">
      <c r="A853">
        <v>1921</v>
      </c>
      <c r="B853" t="s">
        <v>7</v>
      </c>
      <c r="C853">
        <v>5</v>
      </c>
    </row>
    <row r="854" spans="1:3" x14ac:dyDescent="0.5">
      <c r="A854">
        <v>1922</v>
      </c>
      <c r="B854" t="s">
        <v>7</v>
      </c>
      <c r="C854">
        <v>-22</v>
      </c>
    </row>
    <row r="855" spans="1:3" x14ac:dyDescent="0.5">
      <c r="A855">
        <v>1923</v>
      </c>
      <c r="B855" t="s">
        <v>7</v>
      </c>
      <c r="C855">
        <v>29</v>
      </c>
    </row>
    <row r="856" spans="1:3" x14ac:dyDescent="0.5">
      <c r="A856">
        <v>1924</v>
      </c>
      <c r="B856" t="s">
        <v>7</v>
      </c>
      <c r="C856">
        <v>38</v>
      </c>
    </row>
    <row r="857" spans="1:3" x14ac:dyDescent="0.5">
      <c r="A857">
        <v>1925</v>
      </c>
      <c r="B857" t="s">
        <v>7</v>
      </c>
      <c r="C857">
        <v>-4</v>
      </c>
    </row>
    <row r="858" spans="1:3" x14ac:dyDescent="0.5">
      <c r="A858">
        <v>1926</v>
      </c>
      <c r="B858" t="s">
        <v>7</v>
      </c>
      <c r="C858">
        <v>52</v>
      </c>
    </row>
    <row r="859" spans="1:3" x14ac:dyDescent="0.5">
      <c r="A859">
        <v>1927</v>
      </c>
      <c r="B859" t="s">
        <v>7</v>
      </c>
      <c r="C859">
        <v>-4</v>
      </c>
    </row>
    <row r="860" spans="1:3" x14ac:dyDescent="0.5">
      <c r="A860">
        <v>1928</v>
      </c>
      <c r="B860" t="s">
        <v>7</v>
      </c>
      <c r="C860">
        <v>59</v>
      </c>
    </row>
    <row r="861" spans="1:3" x14ac:dyDescent="0.5">
      <c r="A861">
        <v>1929</v>
      </c>
      <c r="B861" t="s">
        <v>7</v>
      </c>
      <c r="C861">
        <v>1</v>
      </c>
    </row>
    <row r="862" spans="1:3" x14ac:dyDescent="0.5">
      <c r="A862">
        <v>1930</v>
      </c>
      <c r="B862" t="s">
        <v>7</v>
      </c>
      <c r="C862">
        <v>48</v>
      </c>
    </row>
    <row r="863" spans="1:3" x14ac:dyDescent="0.5">
      <c r="A863">
        <v>1931</v>
      </c>
      <c r="B863" t="s">
        <v>7</v>
      </c>
      <c r="C863">
        <v>48</v>
      </c>
    </row>
    <row r="864" spans="1:3" x14ac:dyDescent="0.5">
      <c r="A864">
        <v>1932</v>
      </c>
      <c r="B864" t="s">
        <v>7</v>
      </c>
      <c r="C864">
        <v>25</v>
      </c>
    </row>
    <row r="865" spans="1:3" x14ac:dyDescent="0.5">
      <c r="A865">
        <v>1933</v>
      </c>
      <c r="B865" t="s">
        <v>7</v>
      </c>
      <c r="C865">
        <v>-29</v>
      </c>
    </row>
    <row r="866" spans="1:3" x14ac:dyDescent="0.5">
      <c r="A866">
        <v>1934</v>
      </c>
      <c r="B866" t="s">
        <v>7</v>
      </c>
      <c r="C866">
        <v>74</v>
      </c>
    </row>
    <row r="867" spans="1:3" x14ac:dyDescent="0.5">
      <c r="A867">
        <v>1935</v>
      </c>
      <c r="B867" t="s">
        <v>7</v>
      </c>
      <c r="C867">
        <v>22</v>
      </c>
    </row>
    <row r="868" spans="1:3" x14ac:dyDescent="0.5">
      <c r="A868">
        <v>1936</v>
      </c>
      <c r="B868" t="s">
        <v>7</v>
      </c>
      <c r="C868">
        <v>24</v>
      </c>
    </row>
    <row r="869" spans="1:3" x14ac:dyDescent="0.5">
      <c r="A869">
        <v>1937</v>
      </c>
      <c r="B869" t="s">
        <v>7</v>
      </c>
      <c r="C869">
        <v>108</v>
      </c>
    </row>
    <row r="870" spans="1:3" x14ac:dyDescent="0.5">
      <c r="A870">
        <v>1938</v>
      </c>
      <c r="B870" t="s">
        <v>7</v>
      </c>
      <c r="C870">
        <v>123</v>
      </c>
    </row>
    <row r="871" spans="1:3" x14ac:dyDescent="0.5">
      <c r="A871">
        <v>1939</v>
      </c>
      <c r="B871" t="s">
        <v>7</v>
      </c>
      <c r="C871">
        <v>51</v>
      </c>
    </row>
    <row r="872" spans="1:3" x14ac:dyDescent="0.5">
      <c r="A872">
        <v>1940</v>
      </c>
      <c r="B872" t="s">
        <v>7</v>
      </c>
      <c r="C872">
        <v>88</v>
      </c>
    </row>
    <row r="873" spans="1:3" x14ac:dyDescent="0.5">
      <c r="A873">
        <v>1941</v>
      </c>
      <c r="B873" t="s">
        <v>7</v>
      </c>
      <c r="C873">
        <v>-21</v>
      </c>
    </row>
    <row r="874" spans="1:3" x14ac:dyDescent="0.5">
      <c r="A874">
        <v>1942</v>
      </c>
      <c r="B874" t="s">
        <v>7</v>
      </c>
      <c r="C874">
        <v>36</v>
      </c>
    </row>
    <row r="875" spans="1:3" x14ac:dyDescent="0.5">
      <c r="A875">
        <v>1943</v>
      </c>
      <c r="B875" t="s">
        <v>7</v>
      </c>
      <c r="C875">
        <v>118</v>
      </c>
    </row>
    <row r="876" spans="1:3" x14ac:dyDescent="0.5">
      <c r="A876">
        <v>1944</v>
      </c>
      <c r="B876" t="s">
        <v>7</v>
      </c>
      <c r="C876">
        <v>103</v>
      </c>
    </row>
    <row r="877" spans="1:3" x14ac:dyDescent="0.5">
      <c r="A877">
        <v>1945</v>
      </c>
      <c r="B877" t="s">
        <v>7</v>
      </c>
      <c r="C877">
        <v>45</v>
      </c>
    </row>
    <row r="878" spans="1:3" x14ac:dyDescent="0.5">
      <c r="A878">
        <v>1946</v>
      </c>
      <c r="B878" t="s">
        <v>7</v>
      </c>
      <c r="C878">
        <v>-15</v>
      </c>
    </row>
    <row r="879" spans="1:3" x14ac:dyDescent="0.5">
      <c r="A879">
        <v>1947</v>
      </c>
      <c r="B879" t="s">
        <v>7</v>
      </c>
      <c r="C879">
        <v>100</v>
      </c>
    </row>
    <row r="880" spans="1:3" x14ac:dyDescent="0.5">
      <c r="A880">
        <v>1948</v>
      </c>
      <c r="B880" t="s">
        <v>7</v>
      </c>
      <c r="C880">
        <v>8</v>
      </c>
    </row>
    <row r="881" spans="1:3" x14ac:dyDescent="0.5">
      <c r="A881">
        <v>1949</v>
      </c>
      <c r="B881" t="s">
        <v>7</v>
      </c>
      <c r="C881">
        <v>22</v>
      </c>
    </row>
    <row r="882" spans="1:3" x14ac:dyDescent="0.5">
      <c r="A882">
        <v>1950</v>
      </c>
      <c r="B882" t="s">
        <v>7</v>
      </c>
      <c r="C882">
        <v>4</v>
      </c>
    </row>
    <row r="883" spans="1:3" x14ac:dyDescent="0.5">
      <c r="A883">
        <v>1951</v>
      </c>
      <c r="B883" t="s">
        <v>7</v>
      </c>
      <c r="C883">
        <v>1</v>
      </c>
    </row>
    <row r="884" spans="1:3" x14ac:dyDescent="0.5">
      <c r="A884">
        <v>1952</v>
      </c>
      <c r="B884" t="s">
        <v>7</v>
      </c>
      <c r="C884">
        <v>10</v>
      </c>
    </row>
    <row r="885" spans="1:3" x14ac:dyDescent="0.5">
      <c r="A885">
        <v>1953</v>
      </c>
      <c r="B885" t="s">
        <v>7</v>
      </c>
      <c r="C885">
        <v>81</v>
      </c>
    </row>
    <row r="886" spans="1:3" x14ac:dyDescent="0.5">
      <c r="A886">
        <v>1954</v>
      </c>
      <c r="B886" t="s">
        <v>7</v>
      </c>
      <c r="C886">
        <v>58</v>
      </c>
    </row>
    <row r="887" spans="1:3" x14ac:dyDescent="0.5">
      <c r="A887">
        <v>1955</v>
      </c>
      <c r="B887" t="s">
        <v>7</v>
      </c>
      <c r="C887">
        <v>-43</v>
      </c>
    </row>
    <row r="888" spans="1:3" x14ac:dyDescent="0.5">
      <c r="A888">
        <v>1956</v>
      </c>
      <c r="B888" t="s">
        <v>7</v>
      </c>
      <c r="C888">
        <v>-21</v>
      </c>
    </row>
    <row r="889" spans="1:3" x14ac:dyDescent="0.5">
      <c r="A889">
        <v>1957</v>
      </c>
      <c r="B889" t="s">
        <v>7</v>
      </c>
      <c r="C889">
        <v>3</v>
      </c>
    </row>
    <row r="890" spans="1:3" x14ac:dyDescent="0.5">
      <c r="A890">
        <v>1958</v>
      </c>
      <c r="B890" t="s">
        <v>7</v>
      </c>
      <c r="C890">
        <v>-15</v>
      </c>
    </row>
    <row r="891" spans="1:3" x14ac:dyDescent="0.5">
      <c r="A891">
        <v>1959</v>
      </c>
      <c r="B891" t="s">
        <v>7</v>
      </c>
      <c r="C891">
        <v>50</v>
      </c>
    </row>
    <row r="892" spans="1:3" x14ac:dyDescent="0.5">
      <c r="A892">
        <v>1960</v>
      </c>
      <c r="B892" t="s">
        <v>7</v>
      </c>
      <c r="C892">
        <v>35</v>
      </c>
    </row>
    <row r="893" spans="1:3" x14ac:dyDescent="0.5">
      <c r="A893">
        <v>1961</v>
      </c>
      <c r="B893" t="s">
        <v>7</v>
      </c>
      <c r="C893">
        <v>-18</v>
      </c>
    </row>
    <row r="894" spans="1:3" x14ac:dyDescent="0.5">
      <c r="A894">
        <v>1962</v>
      </c>
      <c r="B894" t="s">
        <v>7</v>
      </c>
      <c r="C894">
        <v>58</v>
      </c>
    </row>
    <row r="895" spans="1:3" x14ac:dyDescent="0.5">
      <c r="A895">
        <v>1963</v>
      </c>
      <c r="B895" t="s">
        <v>7</v>
      </c>
      <c r="C895">
        <v>-5</v>
      </c>
    </row>
    <row r="896" spans="1:3" x14ac:dyDescent="0.5">
      <c r="A896">
        <v>1964</v>
      </c>
      <c r="B896" t="s">
        <v>7</v>
      </c>
      <c r="C896">
        <v>-67</v>
      </c>
    </row>
    <row r="897" spans="1:3" x14ac:dyDescent="0.5">
      <c r="A897">
        <v>1965</v>
      </c>
      <c r="B897" t="s">
        <v>7</v>
      </c>
      <c r="C897">
        <v>-20</v>
      </c>
    </row>
    <row r="898" spans="1:3" x14ac:dyDescent="0.5">
      <c r="A898">
        <v>1966</v>
      </c>
      <c r="B898" t="s">
        <v>7</v>
      </c>
      <c r="C898">
        <v>-67</v>
      </c>
    </row>
    <row r="899" spans="1:3" x14ac:dyDescent="0.5">
      <c r="A899">
        <v>1967</v>
      </c>
      <c r="B899" t="s">
        <v>7</v>
      </c>
      <c r="C899">
        <v>43</v>
      </c>
    </row>
    <row r="900" spans="1:3" x14ac:dyDescent="0.5">
      <c r="A900">
        <v>1968</v>
      </c>
      <c r="B900" t="s">
        <v>7</v>
      </c>
      <c r="C900">
        <v>-17</v>
      </c>
    </row>
    <row r="901" spans="1:3" x14ac:dyDescent="0.5">
      <c r="A901">
        <v>1969</v>
      </c>
      <c r="B901" t="s">
        <v>7</v>
      </c>
      <c r="C901">
        <v>5</v>
      </c>
    </row>
    <row r="902" spans="1:3" x14ac:dyDescent="0.5">
      <c r="A902">
        <v>1970</v>
      </c>
      <c r="B902" t="s">
        <v>7</v>
      </c>
      <c r="C902">
        <v>-17</v>
      </c>
    </row>
    <row r="903" spans="1:3" x14ac:dyDescent="0.5">
      <c r="A903">
        <v>1971</v>
      </c>
      <c r="B903" t="s">
        <v>7</v>
      </c>
      <c r="C903">
        <v>-6</v>
      </c>
    </row>
    <row r="904" spans="1:3" x14ac:dyDescent="0.5">
      <c r="A904">
        <v>1972</v>
      </c>
      <c r="B904" t="s">
        <v>7</v>
      </c>
      <c r="C904">
        <v>-45</v>
      </c>
    </row>
    <row r="905" spans="1:3" x14ac:dyDescent="0.5">
      <c r="A905">
        <v>1973</v>
      </c>
      <c r="B905" t="s">
        <v>7</v>
      </c>
      <c r="C905">
        <v>20</v>
      </c>
    </row>
    <row r="906" spans="1:3" x14ac:dyDescent="0.5">
      <c r="A906">
        <v>1974</v>
      </c>
      <c r="B906" t="s">
        <v>7</v>
      </c>
      <c r="C906">
        <v>-29</v>
      </c>
    </row>
    <row r="907" spans="1:3" x14ac:dyDescent="0.5">
      <c r="A907">
        <v>1975</v>
      </c>
      <c r="B907" t="s">
        <v>7</v>
      </c>
      <c r="C907">
        <v>22</v>
      </c>
    </row>
    <row r="908" spans="1:3" x14ac:dyDescent="0.5">
      <c r="A908">
        <v>1976</v>
      </c>
      <c r="B908" t="s">
        <v>7</v>
      </c>
      <c r="C908">
        <v>-4</v>
      </c>
    </row>
    <row r="909" spans="1:3" x14ac:dyDescent="0.5">
      <c r="A909">
        <v>1977</v>
      </c>
      <c r="B909" t="s">
        <v>7</v>
      </c>
      <c r="C909">
        <v>24</v>
      </c>
    </row>
    <row r="910" spans="1:3" x14ac:dyDescent="0.5">
      <c r="A910">
        <v>1978</v>
      </c>
      <c r="B910" t="s">
        <v>7</v>
      </c>
      <c r="C910">
        <v>-8</v>
      </c>
    </row>
    <row r="911" spans="1:3" x14ac:dyDescent="0.5">
      <c r="A911">
        <v>1979</v>
      </c>
      <c r="B911" t="s">
        <v>7</v>
      </c>
      <c r="C911">
        <v>-59</v>
      </c>
    </row>
    <row r="912" spans="1:3" x14ac:dyDescent="0.5">
      <c r="A912">
        <v>1980</v>
      </c>
      <c r="B912" t="s">
        <v>7</v>
      </c>
      <c r="C912">
        <v>32</v>
      </c>
    </row>
    <row r="913" spans="1:3" x14ac:dyDescent="0.5">
      <c r="A913">
        <v>1981</v>
      </c>
      <c r="B913" t="s">
        <v>7</v>
      </c>
      <c r="C913">
        <v>129</v>
      </c>
    </row>
    <row r="914" spans="1:3" x14ac:dyDescent="0.5">
      <c r="A914">
        <v>1982</v>
      </c>
      <c r="B914" t="s">
        <v>7</v>
      </c>
      <c r="C914">
        <v>-27</v>
      </c>
    </row>
    <row r="915" spans="1:3" x14ac:dyDescent="0.5">
      <c r="A915">
        <v>1983</v>
      </c>
      <c r="B915" t="s">
        <v>7</v>
      </c>
      <c r="C915">
        <v>32</v>
      </c>
    </row>
    <row r="916" spans="1:3" x14ac:dyDescent="0.5">
      <c r="A916">
        <v>1984</v>
      </c>
      <c r="B916" t="s">
        <v>7</v>
      </c>
      <c r="C916">
        <v>39</v>
      </c>
    </row>
    <row r="917" spans="1:3" x14ac:dyDescent="0.5">
      <c r="A917">
        <v>1985</v>
      </c>
      <c r="B917" t="s">
        <v>7</v>
      </c>
      <c r="C917">
        <v>41</v>
      </c>
    </row>
    <row r="918" spans="1:3" x14ac:dyDescent="0.5">
      <c r="A918">
        <v>1986</v>
      </c>
      <c r="B918" t="s">
        <v>7</v>
      </c>
      <c r="C918">
        <v>7</v>
      </c>
    </row>
    <row r="919" spans="1:3" x14ac:dyDescent="0.5">
      <c r="A919">
        <v>1987</v>
      </c>
      <c r="B919" t="s">
        <v>7</v>
      </c>
      <c r="C919">
        <v>-26</v>
      </c>
    </row>
    <row r="920" spans="1:3" x14ac:dyDescent="0.5">
      <c r="A920">
        <v>1988</v>
      </c>
      <c r="B920" t="s">
        <v>7</v>
      </c>
      <c r="C920">
        <v>75</v>
      </c>
    </row>
    <row r="921" spans="1:3" x14ac:dyDescent="0.5">
      <c r="A921">
        <v>1989</v>
      </c>
      <c r="B921" t="s">
        <v>7</v>
      </c>
      <c r="C921">
        <v>40</v>
      </c>
    </row>
    <row r="922" spans="1:3" x14ac:dyDescent="0.5">
      <c r="A922">
        <v>1990</v>
      </c>
      <c r="B922" t="s">
        <v>7</v>
      </c>
      <c r="C922">
        <v>60</v>
      </c>
    </row>
    <row r="923" spans="1:3" x14ac:dyDescent="0.5">
      <c r="A923">
        <v>1991</v>
      </c>
      <c r="B923" t="s">
        <v>7</v>
      </c>
      <c r="C923">
        <v>74</v>
      </c>
    </row>
    <row r="924" spans="1:3" x14ac:dyDescent="0.5">
      <c r="A924">
        <v>1992</v>
      </c>
      <c r="B924" t="s">
        <v>7</v>
      </c>
      <c r="C924">
        <v>-19</v>
      </c>
    </row>
    <row r="925" spans="1:3" x14ac:dyDescent="0.5">
      <c r="A925">
        <v>1993</v>
      </c>
      <c r="B925" t="s">
        <v>7</v>
      </c>
      <c r="C925">
        <v>63</v>
      </c>
    </row>
    <row r="926" spans="1:3" x14ac:dyDescent="0.5">
      <c r="A926">
        <v>1994</v>
      </c>
      <c r="B926" t="s">
        <v>7</v>
      </c>
      <c r="C926">
        <v>36</v>
      </c>
    </row>
    <row r="927" spans="1:3" x14ac:dyDescent="0.5">
      <c r="A927">
        <v>1995</v>
      </c>
      <c r="B927" t="s">
        <v>7</v>
      </c>
      <c r="C927">
        <v>140</v>
      </c>
    </row>
    <row r="928" spans="1:3" x14ac:dyDescent="0.5">
      <c r="A928">
        <v>1996</v>
      </c>
      <c r="B928" t="s">
        <v>7</v>
      </c>
      <c r="C928">
        <v>79</v>
      </c>
    </row>
    <row r="929" spans="1:3" x14ac:dyDescent="0.5">
      <c r="A929">
        <v>1997</v>
      </c>
      <c r="B929" t="s">
        <v>7</v>
      </c>
      <c r="C929">
        <v>78</v>
      </c>
    </row>
    <row r="930" spans="1:3" x14ac:dyDescent="0.5">
      <c r="A930">
        <v>1998</v>
      </c>
      <c r="B930" t="s">
        <v>7</v>
      </c>
      <c r="C930">
        <v>91</v>
      </c>
    </row>
    <row r="931" spans="1:3" x14ac:dyDescent="0.5">
      <c r="A931">
        <v>1999</v>
      </c>
      <c r="B931" t="s">
        <v>7</v>
      </c>
      <c r="C931">
        <v>47</v>
      </c>
    </row>
    <row r="932" spans="1:3" x14ac:dyDescent="0.5">
      <c r="A932">
        <v>2000</v>
      </c>
      <c r="B932" t="s">
        <v>7</v>
      </c>
      <c r="C932">
        <v>110</v>
      </c>
    </row>
    <row r="933" spans="1:3" x14ac:dyDescent="0.5">
      <c r="A933">
        <v>2001</v>
      </c>
      <c r="B933" t="s">
        <v>7</v>
      </c>
      <c r="C933">
        <v>104</v>
      </c>
    </row>
    <row r="934" spans="1:3" x14ac:dyDescent="0.5">
      <c r="A934">
        <v>2002</v>
      </c>
      <c r="B934" t="s">
        <v>7</v>
      </c>
      <c r="C934">
        <v>126</v>
      </c>
    </row>
    <row r="935" spans="1:3" x14ac:dyDescent="0.5">
      <c r="A935">
        <v>2003</v>
      </c>
      <c r="B935" t="s">
        <v>7</v>
      </c>
      <c r="C935">
        <v>143</v>
      </c>
    </row>
    <row r="936" spans="1:3" x14ac:dyDescent="0.5">
      <c r="A936">
        <v>2004</v>
      </c>
      <c r="B936" t="s">
        <v>7</v>
      </c>
      <c r="C936">
        <v>64</v>
      </c>
    </row>
    <row r="937" spans="1:3" x14ac:dyDescent="0.5">
      <c r="A937">
        <v>2005</v>
      </c>
      <c r="B937" t="s">
        <v>7</v>
      </c>
      <c r="C937">
        <v>200</v>
      </c>
    </row>
    <row r="938" spans="1:3" x14ac:dyDescent="0.5">
      <c r="A938">
        <v>2006</v>
      </c>
      <c r="B938" t="s">
        <v>7</v>
      </c>
      <c r="C938">
        <v>173</v>
      </c>
    </row>
    <row r="939" spans="1:3" x14ac:dyDescent="0.5">
      <c r="A939">
        <v>2007</v>
      </c>
      <c r="B939" t="s">
        <v>7</v>
      </c>
      <c r="C939">
        <v>201</v>
      </c>
    </row>
    <row r="940" spans="1:3" x14ac:dyDescent="0.5">
      <c r="A940">
        <v>2008</v>
      </c>
      <c r="B940" t="s">
        <v>7</v>
      </c>
      <c r="C940">
        <v>144</v>
      </c>
    </row>
    <row r="941" spans="1:3" x14ac:dyDescent="0.5">
      <c r="A941">
        <v>2009</v>
      </c>
      <c r="B941" t="s">
        <v>7</v>
      </c>
      <c r="C941">
        <v>127</v>
      </c>
    </row>
    <row r="942" spans="1:3" x14ac:dyDescent="0.5">
      <c r="A942">
        <v>2010</v>
      </c>
      <c r="B942" t="s">
        <v>7</v>
      </c>
      <c r="C942">
        <v>199</v>
      </c>
    </row>
    <row r="943" spans="1:3" x14ac:dyDescent="0.5">
      <c r="A943">
        <v>2011</v>
      </c>
      <c r="B943" t="s">
        <v>7</v>
      </c>
      <c r="C943">
        <v>211</v>
      </c>
    </row>
    <row r="944" spans="1:3" x14ac:dyDescent="0.5">
      <c r="A944">
        <v>2012</v>
      </c>
      <c r="B944" t="s">
        <v>7</v>
      </c>
      <c r="C944">
        <v>189</v>
      </c>
    </row>
    <row r="945" spans="1:3" x14ac:dyDescent="0.5">
      <c r="A945">
        <v>2013</v>
      </c>
      <c r="B945" t="s">
        <v>7</v>
      </c>
      <c r="C945">
        <v>123</v>
      </c>
    </row>
    <row r="946" spans="1:3" x14ac:dyDescent="0.5">
      <c r="A946">
        <v>2014</v>
      </c>
      <c r="B946" t="s">
        <v>7</v>
      </c>
      <c r="C946">
        <v>185</v>
      </c>
    </row>
    <row r="947" spans="1:3" x14ac:dyDescent="0.5">
      <c r="A947">
        <v>1880</v>
      </c>
      <c r="B947" t="s">
        <v>8</v>
      </c>
      <c r="C947">
        <v>-54</v>
      </c>
    </row>
    <row r="948" spans="1:3" x14ac:dyDescent="0.5">
      <c r="A948">
        <v>1881</v>
      </c>
      <c r="B948" t="s">
        <v>8</v>
      </c>
      <c r="C948">
        <v>-40</v>
      </c>
    </row>
    <row r="949" spans="1:3" x14ac:dyDescent="0.5">
      <c r="A949">
        <v>1882</v>
      </c>
      <c r="B949" t="s">
        <v>8</v>
      </c>
      <c r="C949">
        <v>-20</v>
      </c>
    </row>
    <row r="950" spans="1:3" x14ac:dyDescent="0.5">
      <c r="A950">
        <v>1883</v>
      </c>
      <c r="B950" t="s">
        <v>8</v>
      </c>
      <c r="C950">
        <v>-57</v>
      </c>
    </row>
    <row r="951" spans="1:3" x14ac:dyDescent="0.5">
      <c r="A951">
        <v>1884</v>
      </c>
      <c r="B951" t="s">
        <v>8</v>
      </c>
      <c r="C951">
        <v>-58</v>
      </c>
    </row>
    <row r="952" spans="1:3" x14ac:dyDescent="0.5">
      <c r="A952">
        <v>1885</v>
      </c>
      <c r="B952" t="s">
        <v>8</v>
      </c>
      <c r="C952">
        <v>-70</v>
      </c>
    </row>
    <row r="953" spans="1:3" x14ac:dyDescent="0.5">
      <c r="A953">
        <v>1886</v>
      </c>
      <c r="B953" t="s">
        <v>8</v>
      </c>
      <c r="C953">
        <v>-43</v>
      </c>
    </row>
    <row r="954" spans="1:3" x14ac:dyDescent="0.5">
      <c r="A954">
        <v>1887</v>
      </c>
      <c r="B954" t="s">
        <v>8</v>
      </c>
      <c r="C954">
        <v>-52</v>
      </c>
    </row>
    <row r="955" spans="1:3" x14ac:dyDescent="0.5">
      <c r="A955">
        <v>1888</v>
      </c>
      <c r="B955" t="s">
        <v>8</v>
      </c>
      <c r="C955">
        <v>-43</v>
      </c>
    </row>
    <row r="956" spans="1:3" x14ac:dyDescent="0.5">
      <c r="A956">
        <v>1889</v>
      </c>
      <c r="B956" t="s">
        <v>8</v>
      </c>
      <c r="C956">
        <v>-13</v>
      </c>
    </row>
    <row r="957" spans="1:3" x14ac:dyDescent="0.5">
      <c r="A957">
        <v>1890</v>
      </c>
      <c r="B957" t="s">
        <v>8</v>
      </c>
      <c r="C957">
        <v>-41</v>
      </c>
    </row>
    <row r="958" spans="1:3" x14ac:dyDescent="0.5">
      <c r="A958">
        <v>1891</v>
      </c>
      <c r="B958" t="s">
        <v>8</v>
      </c>
      <c r="C958">
        <v>-17</v>
      </c>
    </row>
    <row r="959" spans="1:3" x14ac:dyDescent="0.5">
      <c r="A959">
        <v>1892</v>
      </c>
      <c r="B959" t="s">
        <v>8</v>
      </c>
      <c r="C959">
        <v>-30</v>
      </c>
    </row>
    <row r="960" spans="1:3" x14ac:dyDescent="0.5">
      <c r="A960">
        <v>1893</v>
      </c>
      <c r="B960" t="s">
        <v>8</v>
      </c>
      <c r="C960">
        <v>-35</v>
      </c>
    </row>
    <row r="961" spans="1:3" x14ac:dyDescent="0.5">
      <c r="A961">
        <v>1894</v>
      </c>
      <c r="B961" t="s">
        <v>8</v>
      </c>
      <c r="C961">
        <v>-17</v>
      </c>
    </row>
    <row r="962" spans="1:3" x14ac:dyDescent="0.5">
      <c r="A962">
        <v>1895</v>
      </c>
      <c r="B962" t="s">
        <v>8</v>
      </c>
      <c r="C962">
        <v>-38</v>
      </c>
    </row>
    <row r="963" spans="1:3" x14ac:dyDescent="0.5">
      <c r="A963">
        <v>1896</v>
      </c>
      <c r="B963" t="s">
        <v>8</v>
      </c>
      <c r="C963">
        <v>-34</v>
      </c>
    </row>
    <row r="964" spans="1:3" x14ac:dyDescent="0.5">
      <c r="A964">
        <v>1897</v>
      </c>
      <c r="B964" t="s">
        <v>8</v>
      </c>
      <c r="C964">
        <v>-31</v>
      </c>
    </row>
    <row r="965" spans="1:3" x14ac:dyDescent="0.5">
      <c r="A965">
        <v>1898</v>
      </c>
      <c r="B965" t="s">
        <v>8</v>
      </c>
      <c r="C965">
        <v>-2</v>
      </c>
    </row>
    <row r="966" spans="1:3" x14ac:dyDescent="0.5">
      <c r="A966">
        <v>1899</v>
      </c>
      <c r="B966" t="s">
        <v>8</v>
      </c>
      <c r="C966">
        <v>4</v>
      </c>
    </row>
    <row r="967" spans="1:3" x14ac:dyDescent="0.5">
      <c r="A967">
        <v>1900</v>
      </c>
      <c r="B967" t="s">
        <v>8</v>
      </c>
      <c r="C967">
        <v>-3</v>
      </c>
    </row>
    <row r="968" spans="1:3" x14ac:dyDescent="0.5">
      <c r="A968">
        <v>1901</v>
      </c>
      <c r="B968" t="s">
        <v>8</v>
      </c>
      <c r="C968">
        <v>-1</v>
      </c>
    </row>
    <row r="969" spans="1:3" x14ac:dyDescent="0.5">
      <c r="A969">
        <v>1902</v>
      </c>
      <c r="B969" t="s">
        <v>8</v>
      </c>
      <c r="C969">
        <v>-40</v>
      </c>
    </row>
    <row r="970" spans="1:3" x14ac:dyDescent="0.5">
      <c r="A970">
        <v>1903</v>
      </c>
      <c r="B970" t="s">
        <v>8</v>
      </c>
      <c r="C970">
        <v>-30</v>
      </c>
    </row>
    <row r="971" spans="1:3" x14ac:dyDescent="0.5">
      <c r="A971">
        <v>1904</v>
      </c>
      <c r="B971" t="s">
        <v>8</v>
      </c>
      <c r="C971">
        <v>-53</v>
      </c>
    </row>
    <row r="972" spans="1:3" x14ac:dyDescent="0.5">
      <c r="A972">
        <v>1905</v>
      </c>
      <c r="B972" t="s">
        <v>8</v>
      </c>
      <c r="C972">
        <v>-16</v>
      </c>
    </row>
    <row r="973" spans="1:3" x14ac:dyDescent="0.5">
      <c r="A973">
        <v>1906</v>
      </c>
      <c r="B973" t="s">
        <v>8</v>
      </c>
      <c r="C973">
        <v>4</v>
      </c>
    </row>
    <row r="974" spans="1:3" x14ac:dyDescent="0.5">
      <c r="A974">
        <v>1907</v>
      </c>
      <c r="B974" t="s">
        <v>8</v>
      </c>
      <c r="C974">
        <v>-69</v>
      </c>
    </row>
    <row r="975" spans="1:3" x14ac:dyDescent="0.5">
      <c r="A975">
        <v>1908</v>
      </c>
      <c r="B975" t="s">
        <v>8</v>
      </c>
      <c r="C975">
        <v>-50</v>
      </c>
    </row>
    <row r="976" spans="1:3" x14ac:dyDescent="0.5">
      <c r="A976">
        <v>1909</v>
      </c>
      <c r="B976" t="s">
        <v>8</v>
      </c>
      <c r="C976">
        <v>-49</v>
      </c>
    </row>
    <row r="977" spans="1:3" x14ac:dyDescent="0.5">
      <c r="A977">
        <v>1910</v>
      </c>
      <c r="B977" t="s">
        <v>8</v>
      </c>
      <c r="C977">
        <v>-13</v>
      </c>
    </row>
    <row r="978" spans="1:3" x14ac:dyDescent="0.5">
      <c r="A978">
        <v>1911</v>
      </c>
      <c r="B978" t="s">
        <v>8</v>
      </c>
      <c r="C978">
        <v>-36</v>
      </c>
    </row>
    <row r="979" spans="1:3" x14ac:dyDescent="0.5">
      <c r="A979">
        <v>1912</v>
      </c>
      <c r="B979" t="s">
        <v>8</v>
      </c>
      <c r="C979">
        <v>-70</v>
      </c>
    </row>
    <row r="980" spans="1:3" x14ac:dyDescent="0.5">
      <c r="A980">
        <v>1913</v>
      </c>
      <c r="B980" t="s">
        <v>8</v>
      </c>
      <c r="C980">
        <v>-27</v>
      </c>
    </row>
    <row r="981" spans="1:3" x14ac:dyDescent="0.5">
      <c r="A981">
        <v>1914</v>
      </c>
      <c r="B981" t="s">
        <v>8</v>
      </c>
      <c r="C981">
        <v>-6</v>
      </c>
    </row>
    <row r="982" spans="1:3" x14ac:dyDescent="0.5">
      <c r="A982">
        <v>1915</v>
      </c>
      <c r="B982" t="s">
        <v>8</v>
      </c>
      <c r="C982">
        <v>-6</v>
      </c>
    </row>
    <row r="983" spans="1:3" x14ac:dyDescent="0.5">
      <c r="A983">
        <v>1916</v>
      </c>
      <c r="B983" t="s">
        <v>8</v>
      </c>
      <c r="C983">
        <v>-43</v>
      </c>
    </row>
    <row r="984" spans="1:3" x14ac:dyDescent="0.5">
      <c r="A984">
        <v>1917</v>
      </c>
      <c r="B984" t="s">
        <v>8</v>
      </c>
      <c r="C984">
        <v>-39</v>
      </c>
    </row>
    <row r="985" spans="1:3" x14ac:dyDescent="0.5">
      <c r="A985">
        <v>1918</v>
      </c>
      <c r="B985" t="s">
        <v>8</v>
      </c>
      <c r="C985">
        <v>-13</v>
      </c>
    </row>
    <row r="986" spans="1:3" x14ac:dyDescent="0.5">
      <c r="A986">
        <v>1919</v>
      </c>
      <c r="B986" t="s">
        <v>8</v>
      </c>
      <c r="C986">
        <v>-44</v>
      </c>
    </row>
    <row r="987" spans="1:3" x14ac:dyDescent="0.5">
      <c r="A987">
        <v>1920</v>
      </c>
      <c r="B987" t="s">
        <v>8</v>
      </c>
      <c r="C987">
        <v>-8</v>
      </c>
    </row>
    <row r="988" spans="1:3" x14ac:dyDescent="0.5">
      <c r="A988">
        <v>1921</v>
      </c>
      <c r="B988" t="s">
        <v>8</v>
      </c>
      <c r="C988">
        <v>24</v>
      </c>
    </row>
    <row r="989" spans="1:3" x14ac:dyDescent="0.5">
      <c r="A989">
        <v>1922</v>
      </c>
      <c r="B989" t="s">
        <v>8</v>
      </c>
      <c r="C989">
        <v>-31</v>
      </c>
    </row>
    <row r="990" spans="1:3" x14ac:dyDescent="0.5">
      <c r="A990">
        <v>1923</v>
      </c>
      <c r="B990" t="s">
        <v>8</v>
      </c>
      <c r="C990">
        <v>-3</v>
      </c>
    </row>
    <row r="991" spans="1:3" x14ac:dyDescent="0.5">
      <c r="A991">
        <v>1924</v>
      </c>
      <c r="B991" t="s">
        <v>8</v>
      </c>
      <c r="C991">
        <v>-15</v>
      </c>
    </row>
    <row r="992" spans="1:3" x14ac:dyDescent="0.5">
      <c r="A992">
        <v>1925</v>
      </c>
      <c r="B992" t="s">
        <v>8</v>
      </c>
      <c r="C992">
        <v>27</v>
      </c>
    </row>
    <row r="993" spans="1:3" x14ac:dyDescent="0.5">
      <c r="A993">
        <v>1926</v>
      </c>
      <c r="B993" t="s">
        <v>8</v>
      </c>
      <c r="C993">
        <v>25</v>
      </c>
    </row>
    <row r="994" spans="1:3" x14ac:dyDescent="0.5">
      <c r="A994">
        <v>1927</v>
      </c>
      <c r="B994" t="s">
        <v>8</v>
      </c>
      <c r="C994">
        <v>-12</v>
      </c>
    </row>
    <row r="995" spans="1:3" x14ac:dyDescent="0.5">
      <c r="A995">
        <v>1928</v>
      </c>
      <c r="B995" t="s">
        <v>8</v>
      </c>
      <c r="C995">
        <v>-7</v>
      </c>
    </row>
    <row r="996" spans="1:3" x14ac:dyDescent="0.5">
      <c r="A996">
        <v>1929</v>
      </c>
      <c r="B996" t="s">
        <v>8</v>
      </c>
      <c r="C996">
        <v>-50</v>
      </c>
    </row>
    <row r="997" spans="1:3" x14ac:dyDescent="0.5">
      <c r="A997">
        <v>1930</v>
      </c>
      <c r="B997" t="s">
        <v>8</v>
      </c>
      <c r="C997">
        <v>16</v>
      </c>
    </row>
    <row r="998" spans="1:3" x14ac:dyDescent="0.5">
      <c r="A998">
        <v>1931</v>
      </c>
      <c r="B998" t="s">
        <v>8</v>
      </c>
      <c r="C998">
        <v>8</v>
      </c>
    </row>
    <row r="999" spans="1:3" x14ac:dyDescent="0.5">
      <c r="A999">
        <v>1932</v>
      </c>
      <c r="B999" t="s">
        <v>8</v>
      </c>
      <c r="C999">
        <v>31</v>
      </c>
    </row>
    <row r="1000" spans="1:3" x14ac:dyDescent="0.5">
      <c r="A1000">
        <v>1933</v>
      </c>
      <c r="B1000" t="s">
        <v>8</v>
      </c>
      <c r="C1000">
        <v>-38</v>
      </c>
    </row>
    <row r="1001" spans="1:3" x14ac:dyDescent="0.5">
      <c r="A1001">
        <v>1934</v>
      </c>
      <c r="B1001" t="s">
        <v>8</v>
      </c>
      <c r="C1001">
        <v>40</v>
      </c>
    </row>
    <row r="1002" spans="1:3" x14ac:dyDescent="0.5">
      <c r="A1002">
        <v>1935</v>
      </c>
      <c r="B1002" t="s">
        <v>8</v>
      </c>
      <c r="C1002">
        <v>7</v>
      </c>
    </row>
    <row r="1003" spans="1:3" x14ac:dyDescent="0.5">
      <c r="A1003">
        <v>1936</v>
      </c>
      <c r="B1003" t="s">
        <v>8</v>
      </c>
      <c r="C1003">
        <v>18</v>
      </c>
    </row>
    <row r="1004" spans="1:3" x14ac:dyDescent="0.5">
      <c r="A1004">
        <v>1937</v>
      </c>
      <c r="B1004" t="s">
        <v>8</v>
      </c>
      <c r="C1004">
        <v>8</v>
      </c>
    </row>
    <row r="1005" spans="1:3" x14ac:dyDescent="0.5">
      <c r="A1005">
        <v>1938</v>
      </c>
      <c r="B1005" t="s">
        <v>8</v>
      </c>
      <c r="C1005">
        <v>44</v>
      </c>
    </row>
    <row r="1006" spans="1:3" x14ac:dyDescent="0.5">
      <c r="A1006">
        <v>1939</v>
      </c>
      <c r="B1006" t="s">
        <v>8</v>
      </c>
      <c r="C1006">
        <v>33</v>
      </c>
    </row>
    <row r="1007" spans="1:3" x14ac:dyDescent="0.5">
      <c r="A1007">
        <v>1940</v>
      </c>
      <c r="B1007" t="s">
        <v>8</v>
      </c>
      <c r="C1007">
        <v>3</v>
      </c>
    </row>
    <row r="1008" spans="1:3" x14ac:dyDescent="0.5">
      <c r="A1008">
        <v>1941</v>
      </c>
      <c r="B1008" t="s">
        <v>8</v>
      </c>
      <c r="C1008">
        <v>-11</v>
      </c>
    </row>
    <row r="1009" spans="1:3" x14ac:dyDescent="0.5">
      <c r="A1009">
        <v>1942</v>
      </c>
      <c r="B1009" t="s">
        <v>8</v>
      </c>
      <c r="C1009">
        <v>0</v>
      </c>
    </row>
    <row r="1010" spans="1:3" x14ac:dyDescent="0.5">
      <c r="A1010">
        <v>1943</v>
      </c>
      <c r="B1010" t="s">
        <v>8</v>
      </c>
      <c r="C1010">
        <v>33</v>
      </c>
    </row>
    <row r="1011" spans="1:3" x14ac:dyDescent="0.5">
      <c r="A1011">
        <v>1944</v>
      </c>
      <c r="B1011" t="s">
        <v>8</v>
      </c>
      <c r="C1011">
        <v>50</v>
      </c>
    </row>
    <row r="1012" spans="1:3" x14ac:dyDescent="0.5">
      <c r="A1012">
        <v>1945</v>
      </c>
      <c r="B1012" t="s">
        <v>8</v>
      </c>
      <c r="C1012">
        <v>-1</v>
      </c>
    </row>
    <row r="1013" spans="1:3" x14ac:dyDescent="0.5">
      <c r="A1013">
        <v>1946</v>
      </c>
      <c r="B1013" t="s">
        <v>8</v>
      </c>
      <c r="C1013">
        <v>2</v>
      </c>
    </row>
    <row r="1014" spans="1:3" x14ac:dyDescent="0.5">
      <c r="A1014">
        <v>1947</v>
      </c>
      <c r="B1014" t="s">
        <v>8</v>
      </c>
      <c r="C1014">
        <v>-15</v>
      </c>
    </row>
    <row r="1015" spans="1:3" x14ac:dyDescent="0.5">
      <c r="A1015">
        <v>1948</v>
      </c>
      <c r="B1015" t="s">
        <v>8</v>
      </c>
      <c r="C1015">
        <v>36</v>
      </c>
    </row>
    <row r="1016" spans="1:3" x14ac:dyDescent="0.5">
      <c r="A1016">
        <v>1949</v>
      </c>
      <c r="B1016" t="s">
        <v>8</v>
      </c>
      <c r="C1016">
        <v>17</v>
      </c>
    </row>
    <row r="1017" spans="1:3" x14ac:dyDescent="0.5">
      <c r="A1017">
        <v>1950</v>
      </c>
      <c r="B1017" t="s">
        <v>8</v>
      </c>
      <c r="C1017">
        <v>-34</v>
      </c>
    </row>
    <row r="1018" spans="1:3" x14ac:dyDescent="0.5">
      <c r="A1018">
        <v>1951</v>
      </c>
      <c r="B1018" t="s">
        <v>8</v>
      </c>
      <c r="C1018">
        <v>3</v>
      </c>
    </row>
    <row r="1019" spans="1:3" x14ac:dyDescent="0.5">
      <c r="A1019">
        <v>1952</v>
      </c>
      <c r="B1019" t="s">
        <v>8</v>
      </c>
      <c r="C1019">
        <v>-7</v>
      </c>
    </row>
    <row r="1020" spans="1:3" x14ac:dyDescent="0.5">
      <c r="A1020">
        <v>1953</v>
      </c>
      <c r="B1020" t="s">
        <v>8</v>
      </c>
      <c r="C1020">
        <v>37</v>
      </c>
    </row>
    <row r="1021" spans="1:3" x14ac:dyDescent="0.5">
      <c r="A1021">
        <v>1954</v>
      </c>
      <c r="B1021" t="s">
        <v>8</v>
      </c>
      <c r="C1021">
        <v>-20</v>
      </c>
    </row>
    <row r="1022" spans="1:3" x14ac:dyDescent="0.5">
      <c r="A1022">
        <v>1955</v>
      </c>
      <c r="B1022" t="s">
        <v>8</v>
      </c>
      <c r="C1022">
        <v>-7</v>
      </c>
    </row>
    <row r="1023" spans="1:3" x14ac:dyDescent="0.5">
      <c r="A1023">
        <v>1956</v>
      </c>
      <c r="B1023" t="s">
        <v>8</v>
      </c>
      <c r="C1023">
        <v>-47</v>
      </c>
    </row>
    <row r="1024" spans="1:3" x14ac:dyDescent="0.5">
      <c r="A1024">
        <v>1957</v>
      </c>
      <c r="B1024" t="s">
        <v>8</v>
      </c>
      <c r="C1024">
        <v>22</v>
      </c>
    </row>
    <row r="1025" spans="1:3" x14ac:dyDescent="0.5">
      <c r="A1025">
        <v>1958</v>
      </c>
      <c r="B1025" t="s">
        <v>8</v>
      </c>
      <c r="C1025">
        <v>18</v>
      </c>
    </row>
    <row r="1026" spans="1:3" x14ac:dyDescent="0.5">
      <c r="A1026">
        <v>1959</v>
      </c>
      <c r="B1026" t="s">
        <v>8</v>
      </c>
      <c r="C1026">
        <v>17</v>
      </c>
    </row>
    <row r="1027" spans="1:3" x14ac:dyDescent="0.5">
      <c r="A1027">
        <v>1960</v>
      </c>
      <c r="B1027" t="s">
        <v>8</v>
      </c>
      <c r="C1027">
        <v>-6</v>
      </c>
    </row>
    <row r="1028" spans="1:3" x14ac:dyDescent="0.5">
      <c r="A1028">
        <v>1961</v>
      </c>
      <c r="B1028" t="s">
        <v>8</v>
      </c>
      <c r="C1028">
        <v>37</v>
      </c>
    </row>
    <row r="1029" spans="1:3" x14ac:dyDescent="0.5">
      <c r="A1029">
        <v>1962</v>
      </c>
      <c r="B1029" t="s">
        <v>8</v>
      </c>
      <c r="C1029">
        <v>34</v>
      </c>
    </row>
    <row r="1030" spans="1:3" x14ac:dyDescent="0.5">
      <c r="A1030">
        <v>1963</v>
      </c>
      <c r="B1030" t="s">
        <v>8</v>
      </c>
      <c r="C1030">
        <v>32</v>
      </c>
    </row>
    <row r="1031" spans="1:3" x14ac:dyDescent="0.5">
      <c r="A1031">
        <v>1964</v>
      </c>
      <c r="B1031" t="s">
        <v>8</v>
      </c>
      <c r="C1031">
        <v>-22</v>
      </c>
    </row>
    <row r="1032" spans="1:3" x14ac:dyDescent="0.5">
      <c r="A1032">
        <v>1965</v>
      </c>
      <c r="B1032" t="s">
        <v>8</v>
      </c>
      <c r="C1032">
        <v>-24</v>
      </c>
    </row>
    <row r="1033" spans="1:3" x14ac:dyDescent="0.5">
      <c r="A1033">
        <v>1966</v>
      </c>
      <c r="B1033" t="s">
        <v>8</v>
      </c>
      <c r="C1033">
        <v>-16</v>
      </c>
    </row>
    <row r="1034" spans="1:3" x14ac:dyDescent="0.5">
      <c r="A1034">
        <v>1967</v>
      </c>
      <c r="B1034" t="s">
        <v>8</v>
      </c>
      <c r="C1034">
        <v>26</v>
      </c>
    </row>
    <row r="1035" spans="1:3" x14ac:dyDescent="0.5">
      <c r="A1035">
        <v>1968</v>
      </c>
      <c r="B1035" t="s">
        <v>8</v>
      </c>
      <c r="C1035">
        <v>-2</v>
      </c>
    </row>
    <row r="1036" spans="1:3" x14ac:dyDescent="0.5">
      <c r="A1036">
        <v>1969</v>
      </c>
      <c r="B1036" t="s">
        <v>8</v>
      </c>
      <c r="C1036">
        <v>-59</v>
      </c>
    </row>
    <row r="1037" spans="1:3" x14ac:dyDescent="0.5">
      <c r="A1037">
        <v>1970</v>
      </c>
      <c r="B1037" t="s">
        <v>8</v>
      </c>
      <c r="C1037">
        <v>-14</v>
      </c>
    </row>
    <row r="1038" spans="1:3" x14ac:dyDescent="0.5">
      <c r="A1038">
        <v>1971</v>
      </c>
      <c r="B1038" t="s">
        <v>8</v>
      </c>
      <c r="C1038">
        <v>0</v>
      </c>
    </row>
    <row r="1039" spans="1:3" x14ac:dyDescent="0.5">
      <c r="A1039">
        <v>1972</v>
      </c>
      <c r="B1039" t="s">
        <v>8</v>
      </c>
      <c r="C1039">
        <v>-49</v>
      </c>
    </row>
    <row r="1040" spans="1:3" x14ac:dyDescent="0.5">
      <c r="A1040">
        <v>1973</v>
      </c>
      <c r="B1040" t="s">
        <v>8</v>
      </c>
      <c r="C1040">
        <v>26</v>
      </c>
    </row>
    <row r="1041" spans="1:3" x14ac:dyDescent="0.5">
      <c r="A1041">
        <v>1974</v>
      </c>
      <c r="B1041" t="s">
        <v>8</v>
      </c>
      <c r="C1041">
        <v>-11</v>
      </c>
    </row>
    <row r="1042" spans="1:3" x14ac:dyDescent="0.5">
      <c r="A1042">
        <v>1975</v>
      </c>
      <c r="B1042" t="s">
        <v>8</v>
      </c>
      <c r="C1042">
        <v>35</v>
      </c>
    </row>
    <row r="1043" spans="1:3" x14ac:dyDescent="0.5">
      <c r="A1043">
        <v>1976</v>
      </c>
      <c r="B1043" t="s">
        <v>8</v>
      </c>
      <c r="C1043">
        <v>-33</v>
      </c>
    </row>
    <row r="1044" spans="1:3" x14ac:dyDescent="0.5">
      <c r="A1044">
        <v>1977</v>
      </c>
      <c r="B1044" t="s">
        <v>8</v>
      </c>
      <c r="C1044">
        <v>22</v>
      </c>
    </row>
    <row r="1045" spans="1:3" x14ac:dyDescent="0.5">
      <c r="A1045">
        <v>1978</v>
      </c>
      <c r="B1045" t="s">
        <v>8</v>
      </c>
      <c r="C1045">
        <v>0</v>
      </c>
    </row>
    <row r="1046" spans="1:3" x14ac:dyDescent="0.5">
      <c r="A1046">
        <v>1979</v>
      </c>
      <c r="B1046" t="s">
        <v>8</v>
      </c>
      <c r="C1046">
        <v>6</v>
      </c>
    </row>
    <row r="1047" spans="1:3" x14ac:dyDescent="0.5">
      <c r="A1047">
        <v>1980</v>
      </c>
      <c r="B1047" t="s">
        <v>8</v>
      </c>
      <c r="C1047">
        <v>1</v>
      </c>
    </row>
    <row r="1048" spans="1:3" x14ac:dyDescent="0.5">
      <c r="A1048">
        <v>1981</v>
      </c>
      <c r="B1048" t="s">
        <v>8</v>
      </c>
      <c r="C1048">
        <v>77</v>
      </c>
    </row>
    <row r="1049" spans="1:3" x14ac:dyDescent="0.5">
      <c r="A1049">
        <v>1982</v>
      </c>
      <c r="B1049" t="s">
        <v>8</v>
      </c>
      <c r="C1049">
        <v>7</v>
      </c>
    </row>
    <row r="1050" spans="1:3" x14ac:dyDescent="0.5">
      <c r="A1050">
        <v>1983</v>
      </c>
      <c r="B1050" t="s">
        <v>8</v>
      </c>
      <c r="C1050">
        <v>67</v>
      </c>
    </row>
    <row r="1051" spans="1:3" x14ac:dyDescent="0.5">
      <c r="A1051">
        <v>1984</v>
      </c>
      <c r="B1051" t="s">
        <v>8</v>
      </c>
      <c r="C1051">
        <v>7</v>
      </c>
    </row>
    <row r="1052" spans="1:3" x14ac:dyDescent="0.5">
      <c r="A1052">
        <v>1985</v>
      </c>
      <c r="B1052" t="s">
        <v>8</v>
      </c>
      <c r="C1052">
        <v>-27</v>
      </c>
    </row>
    <row r="1053" spans="1:3" x14ac:dyDescent="0.5">
      <c r="A1053">
        <v>1986</v>
      </c>
      <c r="B1053" t="s">
        <v>8</v>
      </c>
      <c r="C1053">
        <v>24</v>
      </c>
    </row>
    <row r="1054" spans="1:3" x14ac:dyDescent="0.5">
      <c r="A1054">
        <v>1987</v>
      </c>
      <c r="B1054" t="s">
        <v>8</v>
      </c>
      <c r="C1054">
        <v>13</v>
      </c>
    </row>
    <row r="1055" spans="1:3" x14ac:dyDescent="0.5">
      <c r="A1055">
        <v>1988</v>
      </c>
      <c r="B1055" t="s">
        <v>8</v>
      </c>
      <c r="C1055">
        <v>49</v>
      </c>
    </row>
    <row r="1056" spans="1:3" x14ac:dyDescent="0.5">
      <c r="A1056">
        <v>1989</v>
      </c>
      <c r="B1056" t="s">
        <v>8</v>
      </c>
      <c r="C1056">
        <v>67</v>
      </c>
    </row>
    <row r="1057" spans="1:3" x14ac:dyDescent="0.5">
      <c r="A1057">
        <v>1990</v>
      </c>
      <c r="B1057" t="s">
        <v>8</v>
      </c>
      <c r="C1057">
        <v>83</v>
      </c>
    </row>
    <row r="1058" spans="1:3" x14ac:dyDescent="0.5">
      <c r="A1058">
        <v>1991</v>
      </c>
      <c r="B1058" t="s">
        <v>8</v>
      </c>
      <c r="C1058">
        <v>59</v>
      </c>
    </row>
    <row r="1059" spans="1:3" x14ac:dyDescent="0.5">
      <c r="A1059">
        <v>1992</v>
      </c>
      <c r="B1059" t="s">
        <v>8</v>
      </c>
      <c r="C1059">
        <v>37</v>
      </c>
    </row>
    <row r="1060" spans="1:3" x14ac:dyDescent="0.5">
      <c r="A1060">
        <v>1993</v>
      </c>
      <c r="B1060" t="s">
        <v>8</v>
      </c>
      <c r="C1060">
        <v>23</v>
      </c>
    </row>
    <row r="1061" spans="1:3" x14ac:dyDescent="0.5">
      <c r="A1061">
        <v>1994</v>
      </c>
      <c r="B1061" t="s">
        <v>8</v>
      </c>
      <c r="C1061">
        <v>46</v>
      </c>
    </row>
    <row r="1062" spans="1:3" x14ac:dyDescent="0.5">
      <c r="A1062">
        <v>1995</v>
      </c>
      <c r="B1062" t="s">
        <v>8</v>
      </c>
      <c r="C1062">
        <v>95</v>
      </c>
    </row>
    <row r="1063" spans="1:3" x14ac:dyDescent="0.5">
      <c r="A1063">
        <v>1996</v>
      </c>
      <c r="B1063" t="s">
        <v>8</v>
      </c>
      <c r="C1063">
        <v>19</v>
      </c>
    </row>
    <row r="1064" spans="1:3" x14ac:dyDescent="0.5">
      <c r="A1064">
        <v>1997</v>
      </c>
      <c r="B1064" t="s">
        <v>8</v>
      </c>
      <c r="C1064">
        <v>87</v>
      </c>
    </row>
    <row r="1065" spans="1:3" x14ac:dyDescent="0.5">
      <c r="A1065">
        <v>1998</v>
      </c>
      <c r="B1065" t="s">
        <v>8</v>
      </c>
      <c r="C1065">
        <v>92</v>
      </c>
    </row>
    <row r="1066" spans="1:3" x14ac:dyDescent="0.5">
      <c r="A1066">
        <v>1999</v>
      </c>
      <c r="B1066" t="s">
        <v>8</v>
      </c>
      <c r="C1066">
        <v>82</v>
      </c>
    </row>
    <row r="1067" spans="1:3" x14ac:dyDescent="0.5">
      <c r="A1067">
        <v>2000</v>
      </c>
      <c r="B1067" t="s">
        <v>8</v>
      </c>
      <c r="C1067">
        <v>75</v>
      </c>
    </row>
    <row r="1068" spans="1:3" x14ac:dyDescent="0.5">
      <c r="A1068">
        <v>2001</v>
      </c>
      <c r="B1068" t="s">
        <v>8</v>
      </c>
      <c r="C1068">
        <v>81</v>
      </c>
    </row>
    <row r="1069" spans="1:3" x14ac:dyDescent="0.5">
      <c r="A1069">
        <v>2002</v>
      </c>
      <c r="B1069" t="s">
        <v>8</v>
      </c>
      <c r="C1069">
        <v>96</v>
      </c>
    </row>
    <row r="1070" spans="1:3" x14ac:dyDescent="0.5">
      <c r="A1070">
        <v>2003</v>
      </c>
      <c r="B1070" t="s">
        <v>8</v>
      </c>
      <c r="C1070">
        <v>94</v>
      </c>
    </row>
    <row r="1071" spans="1:3" x14ac:dyDescent="0.5">
      <c r="A1071">
        <v>2004</v>
      </c>
      <c r="B1071" t="s">
        <v>8</v>
      </c>
      <c r="C1071">
        <v>92</v>
      </c>
    </row>
    <row r="1072" spans="1:3" x14ac:dyDescent="0.5">
      <c r="A1072">
        <v>2005</v>
      </c>
      <c r="B1072" t="s">
        <v>8</v>
      </c>
      <c r="C1072">
        <v>116</v>
      </c>
    </row>
    <row r="1073" spans="1:3" x14ac:dyDescent="0.5">
      <c r="A1073">
        <v>2006</v>
      </c>
      <c r="B1073" t="s">
        <v>8</v>
      </c>
      <c r="C1073">
        <v>105</v>
      </c>
    </row>
    <row r="1074" spans="1:3" x14ac:dyDescent="0.5">
      <c r="A1074">
        <v>2007</v>
      </c>
      <c r="B1074" t="s">
        <v>8</v>
      </c>
      <c r="C1074">
        <v>129</v>
      </c>
    </row>
    <row r="1075" spans="1:3" x14ac:dyDescent="0.5">
      <c r="A1075">
        <v>2008</v>
      </c>
      <c r="B1075" t="s">
        <v>8</v>
      </c>
      <c r="C1075">
        <v>102</v>
      </c>
    </row>
    <row r="1076" spans="1:3" x14ac:dyDescent="0.5">
      <c r="A1076">
        <v>2009</v>
      </c>
      <c r="B1076" t="s">
        <v>8</v>
      </c>
      <c r="C1076">
        <v>58</v>
      </c>
    </row>
    <row r="1077" spans="1:3" x14ac:dyDescent="0.5">
      <c r="A1077">
        <v>2010</v>
      </c>
      <c r="B1077" t="s">
        <v>8</v>
      </c>
      <c r="C1077">
        <v>86</v>
      </c>
    </row>
    <row r="1078" spans="1:3" x14ac:dyDescent="0.5">
      <c r="A1078">
        <v>2011</v>
      </c>
      <c r="B1078" t="s">
        <v>8</v>
      </c>
      <c r="C1078">
        <v>90</v>
      </c>
    </row>
    <row r="1079" spans="1:3" x14ac:dyDescent="0.5">
      <c r="A1079">
        <v>2012</v>
      </c>
      <c r="B1079" t="s">
        <v>8</v>
      </c>
      <c r="C1079">
        <v>89</v>
      </c>
    </row>
    <row r="1080" spans="1:3" x14ac:dyDescent="0.5">
      <c r="A1080">
        <v>2013</v>
      </c>
      <c r="B1080" t="s">
        <v>8</v>
      </c>
      <c r="C1080">
        <v>103</v>
      </c>
    </row>
    <row r="1081" spans="1:3" x14ac:dyDescent="0.5">
      <c r="A1081">
        <v>2014</v>
      </c>
      <c r="B1081" t="s">
        <v>8</v>
      </c>
      <c r="C1081">
        <v>113</v>
      </c>
    </row>
    <row r="1082" spans="1:3" x14ac:dyDescent="0.5">
      <c r="A1082">
        <v>1880</v>
      </c>
      <c r="B1082" t="s">
        <v>9</v>
      </c>
      <c r="C1082">
        <v>-22</v>
      </c>
    </row>
    <row r="1083" spans="1:3" x14ac:dyDescent="0.5">
      <c r="A1083">
        <v>1881</v>
      </c>
      <c r="B1083" t="s">
        <v>9</v>
      </c>
      <c r="C1083">
        <v>-14</v>
      </c>
    </row>
    <row r="1084" spans="1:3" x14ac:dyDescent="0.5">
      <c r="A1084">
        <v>1882</v>
      </c>
      <c r="B1084" t="s">
        <v>9</v>
      </c>
      <c r="C1084">
        <v>-3</v>
      </c>
    </row>
    <row r="1085" spans="1:3" x14ac:dyDescent="0.5">
      <c r="A1085">
        <v>1883</v>
      </c>
      <c r="B1085" t="s">
        <v>9</v>
      </c>
      <c r="C1085">
        <v>-20</v>
      </c>
    </row>
    <row r="1086" spans="1:3" x14ac:dyDescent="0.5">
      <c r="A1086">
        <v>1884</v>
      </c>
      <c r="B1086" t="s">
        <v>9</v>
      </c>
      <c r="C1086">
        <v>-41</v>
      </c>
    </row>
    <row r="1087" spans="1:3" x14ac:dyDescent="0.5">
      <c r="A1087">
        <v>1885</v>
      </c>
      <c r="B1087" t="s">
        <v>9</v>
      </c>
      <c r="C1087">
        <v>-43</v>
      </c>
    </row>
    <row r="1088" spans="1:3" x14ac:dyDescent="0.5">
      <c r="A1088">
        <v>1886</v>
      </c>
      <c r="B1088" t="s">
        <v>9</v>
      </c>
      <c r="C1088">
        <v>-38</v>
      </c>
    </row>
    <row r="1089" spans="1:3" x14ac:dyDescent="0.5">
      <c r="A1089">
        <v>1887</v>
      </c>
      <c r="B1089" t="s">
        <v>9</v>
      </c>
      <c r="C1089">
        <v>-21</v>
      </c>
    </row>
    <row r="1090" spans="1:3" x14ac:dyDescent="0.5">
      <c r="A1090">
        <v>1888</v>
      </c>
      <c r="B1090" t="s">
        <v>9</v>
      </c>
      <c r="C1090">
        <v>-22</v>
      </c>
    </row>
    <row r="1091" spans="1:3" x14ac:dyDescent="0.5">
      <c r="A1091">
        <v>1889</v>
      </c>
      <c r="B1091" t="s">
        <v>9</v>
      </c>
      <c r="C1091">
        <v>-21</v>
      </c>
    </row>
    <row r="1092" spans="1:3" x14ac:dyDescent="0.5">
      <c r="A1092">
        <v>1890</v>
      </c>
      <c r="B1092" t="s">
        <v>9</v>
      </c>
      <c r="C1092">
        <v>-30</v>
      </c>
    </row>
    <row r="1093" spans="1:3" x14ac:dyDescent="0.5">
      <c r="A1093">
        <v>1891</v>
      </c>
      <c r="B1093" t="s">
        <v>9</v>
      </c>
      <c r="C1093">
        <v>-27</v>
      </c>
    </row>
    <row r="1094" spans="1:3" x14ac:dyDescent="0.5">
      <c r="A1094">
        <v>1892</v>
      </c>
      <c r="B1094" t="s">
        <v>9</v>
      </c>
      <c r="C1094">
        <v>-12</v>
      </c>
    </row>
    <row r="1095" spans="1:3" x14ac:dyDescent="0.5">
      <c r="A1095">
        <v>1893</v>
      </c>
      <c r="B1095" t="s">
        <v>9</v>
      </c>
      <c r="C1095">
        <v>-30</v>
      </c>
    </row>
    <row r="1096" spans="1:3" x14ac:dyDescent="0.5">
      <c r="A1096">
        <v>1894</v>
      </c>
      <c r="B1096" t="s">
        <v>9</v>
      </c>
      <c r="C1096">
        <v>-9</v>
      </c>
    </row>
    <row r="1097" spans="1:3" x14ac:dyDescent="0.5">
      <c r="A1097">
        <v>1895</v>
      </c>
      <c r="B1097" t="s">
        <v>9</v>
      </c>
      <c r="C1097">
        <v>-18</v>
      </c>
    </row>
    <row r="1098" spans="1:3" x14ac:dyDescent="0.5">
      <c r="A1098">
        <v>1896</v>
      </c>
      <c r="B1098" t="s">
        <v>9</v>
      </c>
      <c r="C1098">
        <v>-12</v>
      </c>
    </row>
    <row r="1099" spans="1:3" x14ac:dyDescent="0.5">
      <c r="A1099">
        <v>1897</v>
      </c>
      <c r="B1099" t="s">
        <v>9</v>
      </c>
      <c r="C1099">
        <v>-19</v>
      </c>
    </row>
    <row r="1100" spans="1:3" x14ac:dyDescent="0.5">
      <c r="A1100">
        <v>1898</v>
      </c>
      <c r="B1100" t="s">
        <v>9</v>
      </c>
      <c r="C1100">
        <v>-21</v>
      </c>
    </row>
    <row r="1101" spans="1:3" x14ac:dyDescent="0.5">
      <c r="A1101">
        <v>1899</v>
      </c>
      <c r="B1101" t="s">
        <v>9</v>
      </c>
      <c r="C1101">
        <v>-12</v>
      </c>
    </row>
    <row r="1102" spans="1:3" x14ac:dyDescent="0.5">
      <c r="A1102">
        <v>1900</v>
      </c>
      <c r="B1102" t="s">
        <v>9</v>
      </c>
      <c r="C1102">
        <v>-8</v>
      </c>
    </row>
    <row r="1103" spans="1:3" x14ac:dyDescent="0.5">
      <c r="A1103">
        <v>1901</v>
      </c>
      <c r="B1103" t="s">
        <v>9</v>
      </c>
      <c r="C1103">
        <v>-9</v>
      </c>
    </row>
    <row r="1104" spans="1:3" x14ac:dyDescent="0.5">
      <c r="A1104">
        <v>1902</v>
      </c>
      <c r="B1104" t="s">
        <v>9</v>
      </c>
      <c r="C1104">
        <v>-26</v>
      </c>
    </row>
    <row r="1105" spans="1:3" x14ac:dyDescent="0.5">
      <c r="A1105">
        <v>1903</v>
      </c>
      <c r="B1105" t="s">
        <v>9</v>
      </c>
      <c r="C1105">
        <v>-46</v>
      </c>
    </row>
    <row r="1106" spans="1:3" x14ac:dyDescent="0.5">
      <c r="A1106">
        <v>1904</v>
      </c>
      <c r="B1106" t="s">
        <v>9</v>
      </c>
      <c r="C1106">
        <v>-47</v>
      </c>
    </row>
    <row r="1107" spans="1:3" x14ac:dyDescent="0.5">
      <c r="A1107">
        <v>1905</v>
      </c>
      <c r="B1107" t="s">
        <v>9</v>
      </c>
      <c r="C1107">
        <v>-57</v>
      </c>
    </row>
    <row r="1108" spans="1:3" x14ac:dyDescent="0.5">
      <c r="A1108">
        <v>1906</v>
      </c>
      <c r="B1108" t="s">
        <v>9</v>
      </c>
      <c r="C1108">
        <v>-32</v>
      </c>
    </row>
    <row r="1109" spans="1:3" x14ac:dyDescent="0.5">
      <c r="A1109">
        <v>1907</v>
      </c>
      <c r="B1109" t="s">
        <v>9</v>
      </c>
      <c r="C1109">
        <v>-44</v>
      </c>
    </row>
    <row r="1110" spans="1:3" x14ac:dyDescent="0.5">
      <c r="A1110">
        <v>1908</v>
      </c>
      <c r="B1110" t="s">
        <v>9</v>
      </c>
      <c r="C1110">
        <v>-45</v>
      </c>
    </row>
    <row r="1111" spans="1:3" x14ac:dyDescent="0.5">
      <c r="A1111">
        <v>1909</v>
      </c>
      <c r="B1111" t="s">
        <v>9</v>
      </c>
      <c r="C1111">
        <v>-40</v>
      </c>
    </row>
    <row r="1112" spans="1:3" x14ac:dyDescent="0.5">
      <c r="A1112">
        <v>1910</v>
      </c>
      <c r="B1112" t="s">
        <v>9</v>
      </c>
      <c r="C1112">
        <v>-44</v>
      </c>
    </row>
    <row r="1113" spans="1:3" x14ac:dyDescent="0.5">
      <c r="A1113">
        <v>1911</v>
      </c>
      <c r="B1113" t="s">
        <v>9</v>
      </c>
      <c r="C1113">
        <v>-43</v>
      </c>
    </row>
    <row r="1114" spans="1:3" x14ac:dyDescent="0.5">
      <c r="A1114">
        <v>1912</v>
      </c>
      <c r="B1114" t="s">
        <v>9</v>
      </c>
      <c r="C1114">
        <v>-48</v>
      </c>
    </row>
    <row r="1115" spans="1:3" x14ac:dyDescent="0.5">
      <c r="A1115">
        <v>1913</v>
      </c>
      <c r="B1115" t="s">
        <v>9</v>
      </c>
      <c r="C1115">
        <v>-46</v>
      </c>
    </row>
    <row r="1116" spans="1:3" x14ac:dyDescent="0.5">
      <c r="A1116">
        <v>1914</v>
      </c>
      <c r="B1116" t="s">
        <v>9</v>
      </c>
      <c r="C1116">
        <v>-25</v>
      </c>
    </row>
    <row r="1117" spans="1:3" x14ac:dyDescent="0.5">
      <c r="A1117">
        <v>1915</v>
      </c>
      <c r="B1117" t="s">
        <v>9</v>
      </c>
      <c r="C1117">
        <v>-13</v>
      </c>
    </row>
    <row r="1118" spans="1:3" x14ac:dyDescent="0.5">
      <c r="A1118">
        <v>1916</v>
      </c>
      <c r="B1118" t="s">
        <v>9</v>
      </c>
      <c r="C1118">
        <v>-19</v>
      </c>
    </row>
    <row r="1119" spans="1:3" x14ac:dyDescent="0.5">
      <c r="A1119">
        <v>1917</v>
      </c>
      <c r="B1119" t="s">
        <v>9</v>
      </c>
      <c r="C1119">
        <v>-36</v>
      </c>
    </row>
    <row r="1120" spans="1:3" x14ac:dyDescent="0.5">
      <c r="A1120">
        <v>1918</v>
      </c>
      <c r="B1120" t="s">
        <v>9</v>
      </c>
      <c r="C1120">
        <v>-23</v>
      </c>
    </row>
    <row r="1121" spans="1:3" x14ac:dyDescent="0.5">
      <c r="A1121">
        <v>1919</v>
      </c>
      <c r="B1121" t="s">
        <v>9</v>
      </c>
      <c r="C1121">
        <v>-25</v>
      </c>
    </row>
    <row r="1122" spans="1:3" x14ac:dyDescent="0.5">
      <c r="A1122">
        <v>1920</v>
      </c>
      <c r="B1122" t="s">
        <v>9</v>
      </c>
      <c r="C1122">
        <v>-29</v>
      </c>
    </row>
    <row r="1123" spans="1:3" x14ac:dyDescent="0.5">
      <c r="A1123">
        <v>1921</v>
      </c>
      <c r="B1123" t="s">
        <v>9</v>
      </c>
      <c r="C1123">
        <v>-4</v>
      </c>
    </row>
    <row r="1124" spans="1:3" x14ac:dyDescent="0.5">
      <c r="A1124">
        <v>1922</v>
      </c>
      <c r="B1124" t="s">
        <v>9</v>
      </c>
      <c r="C1124">
        <v>-8</v>
      </c>
    </row>
    <row r="1125" spans="1:3" x14ac:dyDescent="0.5">
      <c r="A1125">
        <v>1923</v>
      </c>
      <c r="B1125" t="s">
        <v>9</v>
      </c>
      <c r="C1125">
        <v>-21</v>
      </c>
    </row>
    <row r="1126" spans="1:3" x14ac:dyDescent="0.5">
      <c r="A1126">
        <v>1924</v>
      </c>
      <c r="B1126" t="s">
        <v>9</v>
      </c>
      <c r="C1126">
        <v>-16</v>
      </c>
    </row>
    <row r="1127" spans="1:3" x14ac:dyDescent="0.5">
      <c r="A1127">
        <v>1925</v>
      </c>
      <c r="B1127" t="s">
        <v>9</v>
      </c>
      <c r="C1127">
        <v>-11</v>
      </c>
    </row>
    <row r="1128" spans="1:3" x14ac:dyDescent="0.5">
      <c r="A1128">
        <v>1926</v>
      </c>
      <c r="B1128" t="s">
        <v>9</v>
      </c>
      <c r="C1128">
        <v>-18</v>
      </c>
    </row>
    <row r="1129" spans="1:3" x14ac:dyDescent="0.5">
      <c r="A1129">
        <v>1927</v>
      </c>
      <c r="B1129" t="s">
        <v>9</v>
      </c>
      <c r="C1129">
        <v>-9</v>
      </c>
    </row>
    <row r="1130" spans="1:3" x14ac:dyDescent="0.5">
      <c r="A1130">
        <v>1928</v>
      </c>
      <c r="B1130" t="s">
        <v>9</v>
      </c>
      <c r="C1130">
        <v>-18</v>
      </c>
    </row>
    <row r="1131" spans="1:3" x14ac:dyDescent="0.5">
      <c r="A1131">
        <v>1929</v>
      </c>
      <c r="B1131" t="s">
        <v>9</v>
      </c>
      <c r="C1131">
        <v>-33</v>
      </c>
    </row>
    <row r="1132" spans="1:3" x14ac:dyDescent="0.5">
      <c r="A1132">
        <v>1930</v>
      </c>
      <c r="B1132" t="s">
        <v>9</v>
      </c>
      <c r="C1132">
        <v>-5</v>
      </c>
    </row>
    <row r="1133" spans="1:3" x14ac:dyDescent="0.5">
      <c r="A1133">
        <v>1931</v>
      </c>
      <c r="B1133" t="s">
        <v>9</v>
      </c>
      <c r="C1133">
        <v>-10</v>
      </c>
    </row>
    <row r="1134" spans="1:3" x14ac:dyDescent="0.5">
      <c r="A1134">
        <v>1932</v>
      </c>
      <c r="B1134" t="s">
        <v>9</v>
      </c>
      <c r="C1134">
        <v>-15</v>
      </c>
    </row>
    <row r="1135" spans="1:3" x14ac:dyDescent="0.5">
      <c r="A1135">
        <v>1933</v>
      </c>
      <c r="B1135" t="s">
        <v>9</v>
      </c>
      <c r="C1135">
        <v>-8</v>
      </c>
    </row>
    <row r="1136" spans="1:3" x14ac:dyDescent="0.5">
      <c r="A1136">
        <v>1934</v>
      </c>
      <c r="B1136" t="s">
        <v>9</v>
      </c>
      <c r="C1136">
        <v>-8</v>
      </c>
    </row>
    <row r="1137" spans="1:3" x14ac:dyDescent="0.5">
      <c r="A1137">
        <v>1935</v>
      </c>
      <c r="B1137" t="s">
        <v>9</v>
      </c>
      <c r="C1137">
        <v>-11</v>
      </c>
    </row>
    <row r="1138" spans="1:3" x14ac:dyDescent="0.5">
      <c r="A1138">
        <v>1936</v>
      </c>
      <c r="B1138" t="s">
        <v>9</v>
      </c>
      <c r="C1138">
        <v>-21</v>
      </c>
    </row>
    <row r="1139" spans="1:3" x14ac:dyDescent="0.5">
      <c r="A1139">
        <v>1937</v>
      </c>
      <c r="B1139" t="s">
        <v>9</v>
      </c>
      <c r="C1139">
        <v>2</v>
      </c>
    </row>
    <row r="1140" spans="1:3" x14ac:dyDescent="0.5">
      <c r="A1140">
        <v>1938</v>
      </c>
      <c r="B1140" t="s">
        <v>9</v>
      </c>
      <c r="C1140">
        <v>6</v>
      </c>
    </row>
    <row r="1141" spans="1:3" x14ac:dyDescent="0.5">
      <c r="A1141">
        <v>1939</v>
      </c>
      <c r="B1141" t="s">
        <v>9</v>
      </c>
      <c r="C1141">
        <v>10</v>
      </c>
    </row>
    <row r="1142" spans="1:3" x14ac:dyDescent="0.5">
      <c r="A1142">
        <v>1940</v>
      </c>
      <c r="B1142" t="s">
        <v>9</v>
      </c>
      <c r="C1142">
        <v>-10</v>
      </c>
    </row>
    <row r="1143" spans="1:3" x14ac:dyDescent="0.5">
      <c r="A1143">
        <v>1941</v>
      </c>
      <c r="B1143" t="s">
        <v>9</v>
      </c>
      <c r="C1143">
        <v>7</v>
      </c>
    </row>
    <row r="1144" spans="1:3" x14ac:dyDescent="0.5">
      <c r="A1144">
        <v>1942</v>
      </c>
      <c r="B1144" t="s">
        <v>9</v>
      </c>
      <c r="C1144">
        <v>15</v>
      </c>
    </row>
    <row r="1145" spans="1:3" x14ac:dyDescent="0.5">
      <c r="A1145">
        <v>1943</v>
      </c>
      <c r="B1145" t="s">
        <v>9</v>
      </c>
      <c r="C1145">
        <v>16</v>
      </c>
    </row>
    <row r="1146" spans="1:3" x14ac:dyDescent="0.5">
      <c r="A1146">
        <v>1944</v>
      </c>
      <c r="B1146" t="s">
        <v>9</v>
      </c>
      <c r="C1146">
        <v>14</v>
      </c>
    </row>
    <row r="1147" spans="1:3" x14ac:dyDescent="0.5">
      <c r="A1147">
        <v>1945</v>
      </c>
      <c r="B1147" t="s">
        <v>9</v>
      </c>
      <c r="C1147">
        <v>6</v>
      </c>
    </row>
    <row r="1148" spans="1:3" x14ac:dyDescent="0.5">
      <c r="A1148">
        <v>1946</v>
      </c>
      <c r="B1148" t="s">
        <v>9</v>
      </c>
      <c r="C1148">
        <v>20</v>
      </c>
    </row>
    <row r="1149" spans="1:3" x14ac:dyDescent="0.5">
      <c r="A1149">
        <v>1947</v>
      </c>
      <c r="B1149" t="s">
        <v>9</v>
      </c>
      <c r="C1149">
        <v>6</v>
      </c>
    </row>
    <row r="1150" spans="1:3" x14ac:dyDescent="0.5">
      <c r="A1150">
        <v>1948</v>
      </c>
      <c r="B1150" t="s">
        <v>9</v>
      </c>
      <c r="C1150">
        <v>2</v>
      </c>
    </row>
    <row r="1151" spans="1:3" x14ac:dyDescent="0.5">
      <c r="A1151">
        <v>1949</v>
      </c>
      <c r="B1151" t="s">
        <v>9</v>
      </c>
      <c r="C1151">
        <v>7</v>
      </c>
    </row>
    <row r="1152" spans="1:3" x14ac:dyDescent="0.5">
      <c r="A1152">
        <v>1950</v>
      </c>
      <c r="B1152" t="s">
        <v>9</v>
      </c>
      <c r="C1152">
        <v>4</v>
      </c>
    </row>
    <row r="1153" spans="1:3" x14ac:dyDescent="0.5">
      <c r="A1153">
        <v>1951</v>
      </c>
      <c r="B1153" t="s">
        <v>9</v>
      </c>
      <c r="C1153">
        <v>12</v>
      </c>
    </row>
    <row r="1154" spans="1:3" x14ac:dyDescent="0.5">
      <c r="A1154">
        <v>1952</v>
      </c>
      <c r="B1154" t="s">
        <v>9</v>
      </c>
      <c r="C1154">
        <v>18</v>
      </c>
    </row>
    <row r="1155" spans="1:3" x14ac:dyDescent="0.5">
      <c r="A1155">
        <v>1953</v>
      </c>
      <c r="B1155" t="s">
        <v>9</v>
      </c>
      <c r="C1155">
        <v>15</v>
      </c>
    </row>
    <row r="1156" spans="1:3" x14ac:dyDescent="0.5">
      <c r="A1156">
        <v>1954</v>
      </c>
      <c r="B1156" t="s">
        <v>9</v>
      </c>
      <c r="C1156">
        <v>-1</v>
      </c>
    </row>
    <row r="1157" spans="1:3" x14ac:dyDescent="0.5">
      <c r="A1157">
        <v>1955</v>
      </c>
      <c r="B1157" t="s">
        <v>9</v>
      </c>
      <c r="C1157">
        <v>23</v>
      </c>
    </row>
    <row r="1158" spans="1:3" x14ac:dyDescent="0.5">
      <c r="A1158">
        <v>1956</v>
      </c>
      <c r="B1158" t="s">
        <v>9</v>
      </c>
      <c r="C1158">
        <v>-10</v>
      </c>
    </row>
    <row r="1159" spans="1:3" x14ac:dyDescent="0.5">
      <c r="A1159">
        <v>1957</v>
      </c>
      <c r="B1159" t="s">
        <v>9</v>
      </c>
      <c r="C1159">
        <v>-11</v>
      </c>
    </row>
    <row r="1160" spans="1:3" x14ac:dyDescent="0.5">
      <c r="A1160">
        <v>1958</v>
      </c>
      <c r="B1160" t="s">
        <v>9</v>
      </c>
      <c r="C1160">
        <v>12</v>
      </c>
    </row>
    <row r="1161" spans="1:3" x14ac:dyDescent="0.5">
      <c r="A1161">
        <v>1959</v>
      </c>
      <c r="B1161" t="s">
        <v>9</v>
      </c>
      <c r="C1161">
        <v>2</v>
      </c>
    </row>
    <row r="1162" spans="1:3" x14ac:dyDescent="0.5">
      <c r="A1162">
        <v>1960</v>
      </c>
      <c r="B1162" t="s">
        <v>9</v>
      </c>
      <c r="C1162">
        <v>10</v>
      </c>
    </row>
    <row r="1163" spans="1:3" x14ac:dyDescent="0.5">
      <c r="A1163">
        <v>1961</v>
      </c>
      <c r="B1163" t="s">
        <v>9</v>
      </c>
      <c r="C1163">
        <v>17</v>
      </c>
    </row>
    <row r="1164" spans="1:3" x14ac:dyDescent="0.5">
      <c r="A1164">
        <v>1962</v>
      </c>
      <c r="B1164" t="s">
        <v>9</v>
      </c>
      <c r="C1164">
        <v>14</v>
      </c>
    </row>
    <row r="1165" spans="1:3" x14ac:dyDescent="0.5">
      <c r="A1165">
        <v>1963</v>
      </c>
      <c r="B1165" t="s">
        <v>9</v>
      </c>
      <c r="C1165">
        <v>13</v>
      </c>
    </row>
    <row r="1166" spans="1:3" x14ac:dyDescent="0.5">
      <c r="A1166">
        <v>1964</v>
      </c>
      <c r="B1166" t="s">
        <v>9</v>
      </c>
      <c r="C1166">
        <v>-11</v>
      </c>
    </row>
    <row r="1167" spans="1:3" x14ac:dyDescent="0.5">
      <c r="A1167">
        <v>1965</v>
      </c>
      <c r="B1167" t="s">
        <v>9</v>
      </c>
      <c r="C1167">
        <v>-11</v>
      </c>
    </row>
    <row r="1168" spans="1:3" x14ac:dyDescent="0.5">
      <c r="A1168">
        <v>1966</v>
      </c>
      <c r="B1168" t="s">
        <v>9</v>
      </c>
      <c r="C1168">
        <v>8</v>
      </c>
    </row>
    <row r="1169" spans="1:3" x14ac:dyDescent="0.5">
      <c r="A1169">
        <v>1967</v>
      </c>
      <c r="B1169" t="s">
        <v>9</v>
      </c>
      <c r="C1169">
        <v>-6</v>
      </c>
    </row>
    <row r="1170" spans="1:3" x14ac:dyDescent="0.5">
      <c r="A1170">
        <v>1968</v>
      </c>
      <c r="B1170" t="s">
        <v>9</v>
      </c>
      <c r="C1170">
        <v>-8</v>
      </c>
    </row>
    <row r="1171" spans="1:3" x14ac:dyDescent="0.5">
      <c r="A1171">
        <v>1969</v>
      </c>
      <c r="B1171" t="s">
        <v>9</v>
      </c>
      <c r="C1171">
        <v>-15</v>
      </c>
    </row>
    <row r="1172" spans="1:3" x14ac:dyDescent="0.5">
      <c r="A1172">
        <v>1970</v>
      </c>
      <c r="B1172" t="s">
        <v>9</v>
      </c>
      <c r="C1172">
        <v>-6</v>
      </c>
    </row>
    <row r="1173" spans="1:3" x14ac:dyDescent="0.5">
      <c r="A1173">
        <v>1971</v>
      </c>
      <c r="B1173" t="s">
        <v>9</v>
      </c>
      <c r="C1173">
        <v>-10</v>
      </c>
    </row>
    <row r="1174" spans="1:3" x14ac:dyDescent="0.5">
      <c r="A1174">
        <v>1972</v>
      </c>
      <c r="B1174" t="s">
        <v>9</v>
      </c>
      <c r="C1174">
        <v>-22</v>
      </c>
    </row>
    <row r="1175" spans="1:3" x14ac:dyDescent="0.5">
      <c r="A1175">
        <v>1973</v>
      </c>
      <c r="B1175" t="s">
        <v>9</v>
      </c>
      <c r="C1175">
        <v>2</v>
      </c>
    </row>
    <row r="1176" spans="1:3" x14ac:dyDescent="0.5">
      <c r="A1176">
        <v>1974</v>
      </c>
      <c r="B1176" t="s">
        <v>9</v>
      </c>
      <c r="C1176">
        <v>-18</v>
      </c>
    </row>
    <row r="1177" spans="1:3" x14ac:dyDescent="0.5">
      <c r="A1177">
        <v>1975</v>
      </c>
      <c r="B1177" t="s">
        <v>9</v>
      </c>
      <c r="C1177">
        <v>-6</v>
      </c>
    </row>
    <row r="1178" spans="1:3" x14ac:dyDescent="0.5">
      <c r="A1178">
        <v>1976</v>
      </c>
      <c r="B1178" t="s">
        <v>9</v>
      </c>
      <c r="C1178">
        <v>-28</v>
      </c>
    </row>
    <row r="1179" spans="1:3" x14ac:dyDescent="0.5">
      <c r="A1179">
        <v>1977</v>
      </c>
      <c r="B1179" t="s">
        <v>9</v>
      </c>
      <c r="C1179">
        <v>7</v>
      </c>
    </row>
    <row r="1180" spans="1:3" x14ac:dyDescent="0.5">
      <c r="A1180">
        <v>1978</v>
      </c>
      <c r="B1180" t="s">
        <v>9</v>
      </c>
      <c r="C1180">
        <v>-3</v>
      </c>
    </row>
    <row r="1181" spans="1:3" x14ac:dyDescent="0.5">
      <c r="A1181">
        <v>1979</v>
      </c>
      <c r="B1181" t="s">
        <v>9</v>
      </c>
      <c r="C1181">
        <v>9</v>
      </c>
    </row>
    <row r="1182" spans="1:3" x14ac:dyDescent="0.5">
      <c r="A1182">
        <v>1980</v>
      </c>
      <c r="B1182" t="s">
        <v>9</v>
      </c>
      <c r="C1182">
        <v>2</v>
      </c>
    </row>
    <row r="1183" spans="1:3" x14ac:dyDescent="0.5">
      <c r="A1183">
        <v>1981</v>
      </c>
      <c r="B1183" t="s">
        <v>9</v>
      </c>
      <c r="C1183">
        <v>9</v>
      </c>
    </row>
    <row r="1184" spans="1:3" x14ac:dyDescent="0.5">
      <c r="A1184">
        <v>1982</v>
      </c>
      <c r="B1184" t="s">
        <v>9</v>
      </c>
      <c r="C1184">
        <v>-8</v>
      </c>
    </row>
    <row r="1185" spans="1:3" x14ac:dyDescent="0.5">
      <c r="A1185">
        <v>1983</v>
      </c>
      <c r="B1185" t="s">
        <v>9</v>
      </c>
      <c r="C1185">
        <v>-6</v>
      </c>
    </row>
    <row r="1186" spans="1:3" x14ac:dyDescent="0.5">
      <c r="A1186">
        <v>1984</v>
      </c>
      <c r="B1186" t="s">
        <v>9</v>
      </c>
      <c r="C1186">
        <v>-12</v>
      </c>
    </row>
    <row r="1187" spans="1:3" x14ac:dyDescent="0.5">
      <c r="A1187">
        <v>1985</v>
      </c>
      <c r="B1187" t="s">
        <v>9</v>
      </c>
      <c r="C1187">
        <v>-1</v>
      </c>
    </row>
    <row r="1188" spans="1:3" x14ac:dyDescent="0.5">
      <c r="A1188">
        <v>1986</v>
      </c>
      <c r="B1188" t="s">
        <v>9</v>
      </c>
      <c r="C1188">
        <v>4</v>
      </c>
    </row>
    <row r="1189" spans="1:3" x14ac:dyDescent="0.5">
      <c r="A1189">
        <v>1987</v>
      </c>
      <c r="B1189" t="s">
        <v>9</v>
      </c>
      <c r="C1189">
        <v>14</v>
      </c>
    </row>
    <row r="1190" spans="1:3" x14ac:dyDescent="0.5">
      <c r="A1190">
        <v>1988</v>
      </c>
      <c r="B1190" t="s">
        <v>9</v>
      </c>
      <c r="C1190">
        <v>23</v>
      </c>
    </row>
    <row r="1191" spans="1:3" x14ac:dyDescent="0.5">
      <c r="A1191">
        <v>1989</v>
      </c>
      <c r="B1191" t="s">
        <v>9</v>
      </c>
      <c r="C1191">
        <v>27</v>
      </c>
    </row>
    <row r="1192" spans="1:3" x14ac:dyDescent="0.5">
      <c r="A1192">
        <v>1990</v>
      </c>
      <c r="B1192" t="s">
        <v>9</v>
      </c>
      <c r="C1192">
        <v>48</v>
      </c>
    </row>
    <row r="1193" spans="1:3" x14ac:dyDescent="0.5">
      <c r="A1193">
        <v>1991</v>
      </c>
      <c r="B1193" t="s">
        <v>9</v>
      </c>
      <c r="C1193">
        <v>28</v>
      </c>
    </row>
    <row r="1194" spans="1:3" x14ac:dyDescent="0.5">
      <c r="A1194">
        <v>1992</v>
      </c>
      <c r="B1194" t="s">
        <v>9</v>
      </c>
      <c r="C1194">
        <v>-2</v>
      </c>
    </row>
    <row r="1195" spans="1:3" x14ac:dyDescent="0.5">
      <c r="A1195">
        <v>1993</v>
      </c>
      <c r="B1195" t="s">
        <v>9</v>
      </c>
      <c r="C1195">
        <v>-8</v>
      </c>
    </row>
    <row r="1196" spans="1:3" x14ac:dyDescent="0.5">
      <c r="A1196">
        <v>1994</v>
      </c>
      <c r="B1196" t="s">
        <v>9</v>
      </c>
      <c r="C1196">
        <v>43</v>
      </c>
    </row>
    <row r="1197" spans="1:3" x14ac:dyDescent="0.5">
      <c r="A1197">
        <v>1995</v>
      </c>
      <c r="B1197" t="s">
        <v>9</v>
      </c>
      <c r="C1197">
        <v>33</v>
      </c>
    </row>
    <row r="1198" spans="1:3" x14ac:dyDescent="0.5">
      <c r="A1198">
        <v>1996</v>
      </c>
      <c r="B1198" t="s">
        <v>9</v>
      </c>
      <c r="C1198">
        <v>13</v>
      </c>
    </row>
    <row r="1199" spans="1:3" x14ac:dyDescent="0.5">
      <c r="A1199">
        <v>1997</v>
      </c>
      <c r="B1199" t="s">
        <v>9</v>
      </c>
      <c r="C1199">
        <v>26</v>
      </c>
    </row>
    <row r="1200" spans="1:3" x14ac:dyDescent="0.5">
      <c r="A1200">
        <v>1998</v>
      </c>
      <c r="B1200" t="s">
        <v>9</v>
      </c>
      <c r="C1200">
        <v>68</v>
      </c>
    </row>
    <row r="1201" spans="1:3" x14ac:dyDescent="0.5">
      <c r="A1201">
        <v>1999</v>
      </c>
      <c r="B1201" t="s">
        <v>9</v>
      </c>
      <c r="C1201">
        <v>77</v>
      </c>
    </row>
    <row r="1202" spans="1:3" x14ac:dyDescent="0.5">
      <c r="A1202">
        <v>2000</v>
      </c>
      <c r="B1202" t="s">
        <v>9</v>
      </c>
      <c r="C1202">
        <v>56</v>
      </c>
    </row>
    <row r="1203" spans="1:3" x14ac:dyDescent="0.5">
      <c r="A1203">
        <v>2001</v>
      </c>
      <c r="B1203" t="s">
        <v>9</v>
      </c>
      <c r="C1203">
        <v>71</v>
      </c>
    </row>
    <row r="1204" spans="1:3" x14ac:dyDescent="0.5">
      <c r="A1204">
        <v>2002</v>
      </c>
      <c r="B1204" t="s">
        <v>9</v>
      </c>
      <c r="C1204">
        <v>58</v>
      </c>
    </row>
    <row r="1205" spans="1:3" x14ac:dyDescent="0.5">
      <c r="A1205">
        <v>2003</v>
      </c>
      <c r="B1205" t="s">
        <v>9</v>
      </c>
      <c r="C1205">
        <v>52</v>
      </c>
    </row>
    <row r="1206" spans="1:3" x14ac:dyDescent="0.5">
      <c r="A1206">
        <v>2004</v>
      </c>
      <c r="B1206" t="s">
        <v>9</v>
      </c>
      <c r="C1206">
        <v>68</v>
      </c>
    </row>
    <row r="1207" spans="1:3" x14ac:dyDescent="0.5">
      <c r="A1207">
        <v>2005</v>
      </c>
      <c r="B1207" t="s">
        <v>9</v>
      </c>
      <c r="C1207">
        <v>56</v>
      </c>
    </row>
    <row r="1208" spans="1:3" x14ac:dyDescent="0.5">
      <c r="A1208">
        <v>2006</v>
      </c>
      <c r="B1208" t="s">
        <v>9</v>
      </c>
      <c r="C1208">
        <v>67</v>
      </c>
    </row>
    <row r="1209" spans="1:3" x14ac:dyDescent="0.5">
      <c r="A1209">
        <v>2007</v>
      </c>
      <c r="B1209" t="s">
        <v>9</v>
      </c>
      <c r="C1209">
        <v>69</v>
      </c>
    </row>
    <row r="1210" spans="1:3" x14ac:dyDescent="0.5">
      <c r="A1210">
        <v>2008</v>
      </c>
      <c r="B1210" t="s">
        <v>9</v>
      </c>
      <c r="C1210">
        <v>61</v>
      </c>
    </row>
    <row r="1211" spans="1:3" x14ac:dyDescent="0.5">
      <c r="A1211">
        <v>2009</v>
      </c>
      <c r="B1211" t="s">
        <v>9</v>
      </c>
      <c r="C1211">
        <v>67</v>
      </c>
    </row>
    <row r="1212" spans="1:3" x14ac:dyDescent="0.5">
      <c r="A1212">
        <v>2010</v>
      </c>
      <c r="B1212" t="s">
        <v>9</v>
      </c>
      <c r="C1212">
        <v>74</v>
      </c>
    </row>
    <row r="1213" spans="1:3" x14ac:dyDescent="0.5">
      <c r="A1213">
        <v>2011</v>
      </c>
      <c r="B1213" t="s">
        <v>9</v>
      </c>
      <c r="C1213">
        <v>57</v>
      </c>
    </row>
    <row r="1214" spans="1:3" x14ac:dyDescent="0.5">
      <c r="A1214">
        <v>2012</v>
      </c>
      <c r="B1214" t="s">
        <v>9</v>
      </c>
      <c r="C1214">
        <v>73</v>
      </c>
    </row>
    <row r="1215" spans="1:3" x14ac:dyDescent="0.5">
      <c r="A1215">
        <v>2013</v>
      </c>
      <c r="B1215" t="s">
        <v>9</v>
      </c>
      <c r="C1215">
        <v>68</v>
      </c>
    </row>
    <row r="1216" spans="1:3" x14ac:dyDescent="0.5">
      <c r="A1216">
        <v>2014</v>
      </c>
      <c r="B1216" t="s">
        <v>9</v>
      </c>
      <c r="C1216">
        <v>76</v>
      </c>
    </row>
    <row r="1217" spans="1:3" x14ac:dyDescent="0.5">
      <c r="A1217">
        <v>1880</v>
      </c>
      <c r="B1217" t="s">
        <v>10</v>
      </c>
      <c r="C1217">
        <v>-26</v>
      </c>
    </row>
    <row r="1218" spans="1:3" x14ac:dyDescent="0.5">
      <c r="A1218">
        <v>1881</v>
      </c>
      <c r="B1218" t="s">
        <v>10</v>
      </c>
      <c r="C1218">
        <v>-5</v>
      </c>
    </row>
    <row r="1219" spans="1:3" x14ac:dyDescent="0.5">
      <c r="A1219">
        <v>1882</v>
      </c>
      <c r="B1219" t="s">
        <v>10</v>
      </c>
      <c r="C1219">
        <v>-12</v>
      </c>
    </row>
    <row r="1220" spans="1:3" x14ac:dyDescent="0.5">
      <c r="A1220">
        <v>1883</v>
      </c>
      <c r="B1220" t="s">
        <v>10</v>
      </c>
      <c r="C1220">
        <v>-25</v>
      </c>
    </row>
    <row r="1221" spans="1:3" x14ac:dyDescent="0.5">
      <c r="A1221">
        <v>1884</v>
      </c>
      <c r="B1221" t="s">
        <v>10</v>
      </c>
      <c r="C1221">
        <v>-21</v>
      </c>
    </row>
    <row r="1222" spans="1:3" x14ac:dyDescent="0.5">
      <c r="A1222">
        <v>1885</v>
      </c>
      <c r="B1222" t="s">
        <v>10</v>
      </c>
      <c r="C1222">
        <v>-11</v>
      </c>
    </row>
    <row r="1223" spans="1:3" x14ac:dyDescent="0.5">
      <c r="A1223">
        <v>1886</v>
      </c>
      <c r="B1223" t="s">
        <v>10</v>
      </c>
      <c r="C1223">
        <v>-24</v>
      </c>
    </row>
    <row r="1224" spans="1:3" x14ac:dyDescent="0.5">
      <c r="A1224">
        <v>1887</v>
      </c>
      <c r="B1224" t="s">
        <v>10</v>
      </c>
      <c r="C1224">
        <v>-24</v>
      </c>
    </row>
    <row r="1225" spans="1:3" x14ac:dyDescent="0.5">
      <c r="A1225">
        <v>1888</v>
      </c>
      <c r="B1225" t="s">
        <v>10</v>
      </c>
      <c r="C1225">
        <v>7</v>
      </c>
    </row>
    <row r="1226" spans="1:3" x14ac:dyDescent="0.5">
      <c r="A1226">
        <v>1889</v>
      </c>
      <c r="B1226" t="s">
        <v>10</v>
      </c>
      <c r="C1226">
        <v>-3</v>
      </c>
    </row>
    <row r="1227" spans="1:3" x14ac:dyDescent="0.5">
      <c r="A1227">
        <v>1890</v>
      </c>
      <c r="B1227" t="s">
        <v>10</v>
      </c>
      <c r="C1227">
        <v>-35</v>
      </c>
    </row>
    <row r="1228" spans="1:3" x14ac:dyDescent="0.5">
      <c r="A1228">
        <v>1891</v>
      </c>
      <c r="B1228" t="s">
        <v>10</v>
      </c>
      <c r="C1228">
        <v>-8</v>
      </c>
    </row>
    <row r="1229" spans="1:3" x14ac:dyDescent="0.5">
      <c r="A1229">
        <v>1892</v>
      </c>
      <c r="B1229" t="s">
        <v>10</v>
      </c>
      <c r="C1229">
        <v>-32</v>
      </c>
    </row>
    <row r="1230" spans="1:3" x14ac:dyDescent="0.5">
      <c r="A1230">
        <v>1893</v>
      </c>
      <c r="B1230" t="s">
        <v>10</v>
      </c>
      <c r="C1230">
        <v>-43</v>
      </c>
    </row>
    <row r="1231" spans="1:3" x14ac:dyDescent="0.5">
      <c r="A1231">
        <v>1894</v>
      </c>
      <c r="B1231" t="s">
        <v>10</v>
      </c>
      <c r="C1231">
        <v>-53</v>
      </c>
    </row>
    <row r="1232" spans="1:3" x14ac:dyDescent="0.5">
      <c r="A1232">
        <v>1895</v>
      </c>
      <c r="B1232" t="s">
        <v>10</v>
      </c>
      <c r="C1232">
        <v>-19</v>
      </c>
    </row>
    <row r="1233" spans="1:3" x14ac:dyDescent="0.5">
      <c r="A1233">
        <v>1896</v>
      </c>
      <c r="B1233" t="s">
        <v>10</v>
      </c>
      <c r="C1233">
        <v>-2</v>
      </c>
    </row>
    <row r="1234" spans="1:3" x14ac:dyDescent="0.5">
      <c r="A1234">
        <v>1897</v>
      </c>
      <c r="B1234" t="s">
        <v>10</v>
      </c>
      <c r="C1234">
        <v>13</v>
      </c>
    </row>
    <row r="1235" spans="1:3" x14ac:dyDescent="0.5">
      <c r="A1235">
        <v>1898</v>
      </c>
      <c r="B1235" t="s">
        <v>10</v>
      </c>
      <c r="C1235">
        <v>-28</v>
      </c>
    </row>
    <row r="1236" spans="1:3" x14ac:dyDescent="0.5">
      <c r="A1236">
        <v>1899</v>
      </c>
      <c r="B1236" t="s">
        <v>10</v>
      </c>
      <c r="C1236">
        <v>-16</v>
      </c>
    </row>
    <row r="1237" spans="1:3" x14ac:dyDescent="0.5">
      <c r="A1237">
        <v>1900</v>
      </c>
      <c r="B1237" t="s">
        <v>10</v>
      </c>
      <c r="C1237">
        <v>11</v>
      </c>
    </row>
    <row r="1238" spans="1:3" x14ac:dyDescent="0.5">
      <c r="A1238">
        <v>1901</v>
      </c>
      <c r="B1238" t="s">
        <v>10</v>
      </c>
      <c r="C1238">
        <v>-3</v>
      </c>
    </row>
    <row r="1239" spans="1:3" x14ac:dyDescent="0.5">
      <c r="A1239">
        <v>1902</v>
      </c>
      <c r="B1239" t="s">
        <v>10</v>
      </c>
      <c r="C1239">
        <v>-3</v>
      </c>
    </row>
    <row r="1240" spans="1:3" x14ac:dyDescent="0.5">
      <c r="A1240">
        <v>1903</v>
      </c>
      <c r="B1240" t="s">
        <v>10</v>
      </c>
      <c r="C1240">
        <v>-27</v>
      </c>
    </row>
    <row r="1241" spans="1:3" x14ac:dyDescent="0.5">
      <c r="A1241">
        <v>1904</v>
      </c>
      <c r="B1241" t="s">
        <v>10</v>
      </c>
      <c r="C1241">
        <v>-45</v>
      </c>
    </row>
    <row r="1242" spans="1:3" x14ac:dyDescent="0.5">
      <c r="A1242">
        <v>1905</v>
      </c>
      <c r="B1242" t="s">
        <v>10</v>
      </c>
      <c r="C1242">
        <v>-15</v>
      </c>
    </row>
    <row r="1243" spans="1:3" x14ac:dyDescent="0.5">
      <c r="A1243">
        <v>1906</v>
      </c>
      <c r="B1243" t="s">
        <v>10</v>
      </c>
      <c r="C1243">
        <v>-22</v>
      </c>
    </row>
    <row r="1244" spans="1:3" x14ac:dyDescent="0.5">
      <c r="A1244">
        <v>1907</v>
      </c>
      <c r="B1244" t="s">
        <v>10</v>
      </c>
      <c r="C1244">
        <v>-33</v>
      </c>
    </row>
    <row r="1245" spans="1:3" x14ac:dyDescent="0.5">
      <c r="A1245">
        <v>1908</v>
      </c>
      <c r="B1245" t="s">
        <v>10</v>
      </c>
      <c r="C1245">
        <v>-45</v>
      </c>
    </row>
    <row r="1246" spans="1:3" x14ac:dyDescent="0.5">
      <c r="A1246">
        <v>1909</v>
      </c>
      <c r="B1246" t="s">
        <v>10</v>
      </c>
      <c r="C1246">
        <v>-50</v>
      </c>
    </row>
    <row r="1247" spans="1:3" x14ac:dyDescent="0.5">
      <c r="A1247">
        <v>1910</v>
      </c>
      <c r="B1247" t="s">
        <v>10</v>
      </c>
      <c r="C1247">
        <v>-54</v>
      </c>
    </row>
    <row r="1248" spans="1:3" x14ac:dyDescent="0.5">
      <c r="A1248">
        <v>1911</v>
      </c>
      <c r="B1248" t="s">
        <v>10</v>
      </c>
      <c r="C1248">
        <v>-47</v>
      </c>
    </row>
    <row r="1249" spans="1:3" x14ac:dyDescent="0.5">
      <c r="A1249">
        <v>1912</v>
      </c>
      <c r="B1249" t="s">
        <v>10</v>
      </c>
      <c r="C1249">
        <v>-33</v>
      </c>
    </row>
    <row r="1250" spans="1:3" x14ac:dyDescent="0.5">
      <c r="A1250">
        <v>1913</v>
      </c>
      <c r="B1250" t="s">
        <v>10</v>
      </c>
      <c r="C1250">
        <v>-45</v>
      </c>
    </row>
    <row r="1251" spans="1:3" x14ac:dyDescent="0.5">
      <c r="A1251">
        <v>1914</v>
      </c>
      <c r="B1251" t="s">
        <v>10</v>
      </c>
      <c r="C1251">
        <v>-12</v>
      </c>
    </row>
    <row r="1252" spans="1:3" x14ac:dyDescent="0.5">
      <c r="A1252">
        <v>1915</v>
      </c>
      <c r="B1252" t="s">
        <v>10</v>
      </c>
      <c r="C1252">
        <v>2</v>
      </c>
    </row>
    <row r="1253" spans="1:3" x14ac:dyDescent="0.5">
      <c r="A1253">
        <v>1916</v>
      </c>
      <c r="B1253" t="s">
        <v>10</v>
      </c>
      <c r="C1253">
        <v>-47</v>
      </c>
    </row>
    <row r="1254" spans="1:3" x14ac:dyDescent="0.5">
      <c r="A1254">
        <v>1917</v>
      </c>
      <c r="B1254" t="s">
        <v>10</v>
      </c>
      <c r="C1254">
        <v>-70</v>
      </c>
    </row>
    <row r="1255" spans="1:3" x14ac:dyDescent="0.5">
      <c r="A1255">
        <v>1918</v>
      </c>
      <c r="B1255" t="s">
        <v>10</v>
      </c>
      <c r="C1255">
        <v>-32</v>
      </c>
    </row>
    <row r="1256" spans="1:3" x14ac:dyDescent="0.5">
      <c r="A1256">
        <v>1919</v>
      </c>
      <c r="B1256" t="s">
        <v>10</v>
      </c>
      <c r="C1256">
        <v>-23</v>
      </c>
    </row>
    <row r="1257" spans="1:3" x14ac:dyDescent="0.5">
      <c r="A1257">
        <v>1920</v>
      </c>
      <c r="B1257" t="s">
        <v>10</v>
      </c>
      <c r="C1257">
        <v>-40</v>
      </c>
    </row>
    <row r="1258" spans="1:3" x14ac:dyDescent="0.5">
      <c r="A1258">
        <v>1921</v>
      </c>
      <c r="B1258" t="s">
        <v>10</v>
      </c>
      <c r="C1258">
        <v>-30</v>
      </c>
    </row>
    <row r="1259" spans="1:3" x14ac:dyDescent="0.5">
      <c r="A1259">
        <v>1922</v>
      </c>
      <c r="B1259" t="s">
        <v>10</v>
      </c>
      <c r="C1259">
        <v>-35</v>
      </c>
    </row>
    <row r="1260" spans="1:3" x14ac:dyDescent="0.5">
      <c r="A1260">
        <v>1923</v>
      </c>
      <c r="B1260" t="s">
        <v>10</v>
      </c>
      <c r="C1260">
        <v>-33</v>
      </c>
    </row>
    <row r="1261" spans="1:3" x14ac:dyDescent="0.5">
      <c r="A1261">
        <v>1924</v>
      </c>
      <c r="B1261" t="s">
        <v>10</v>
      </c>
      <c r="C1261">
        <v>-26</v>
      </c>
    </row>
    <row r="1262" spans="1:3" x14ac:dyDescent="0.5">
      <c r="A1262">
        <v>1925</v>
      </c>
      <c r="B1262" t="s">
        <v>10</v>
      </c>
      <c r="C1262">
        <v>-22</v>
      </c>
    </row>
    <row r="1263" spans="1:3" x14ac:dyDescent="0.5">
      <c r="A1263">
        <v>1926</v>
      </c>
      <c r="B1263" t="s">
        <v>10</v>
      </c>
      <c r="C1263">
        <v>1</v>
      </c>
    </row>
    <row r="1264" spans="1:3" x14ac:dyDescent="0.5">
      <c r="A1264">
        <v>1927</v>
      </c>
      <c r="B1264" t="s">
        <v>10</v>
      </c>
      <c r="C1264">
        <v>-12</v>
      </c>
    </row>
    <row r="1265" spans="1:3" x14ac:dyDescent="0.5">
      <c r="A1265">
        <v>1928</v>
      </c>
      <c r="B1265" t="s">
        <v>10</v>
      </c>
      <c r="C1265">
        <v>-14</v>
      </c>
    </row>
    <row r="1266" spans="1:3" x14ac:dyDescent="0.5">
      <c r="A1266">
        <v>1929</v>
      </c>
      <c r="B1266" t="s">
        <v>10</v>
      </c>
      <c r="C1266">
        <v>-26</v>
      </c>
    </row>
    <row r="1267" spans="1:3" x14ac:dyDescent="0.5">
      <c r="A1267">
        <v>1930</v>
      </c>
      <c r="B1267" t="s">
        <v>10</v>
      </c>
      <c r="C1267">
        <v>-9</v>
      </c>
    </row>
    <row r="1268" spans="1:3" x14ac:dyDescent="0.5">
      <c r="A1268">
        <v>1931</v>
      </c>
      <c r="B1268" t="s">
        <v>10</v>
      </c>
      <c r="C1268">
        <v>6</v>
      </c>
    </row>
    <row r="1269" spans="1:3" x14ac:dyDescent="0.5">
      <c r="A1269">
        <v>1932</v>
      </c>
      <c r="B1269" t="s">
        <v>10</v>
      </c>
      <c r="C1269">
        <v>-17</v>
      </c>
    </row>
    <row r="1270" spans="1:3" x14ac:dyDescent="0.5">
      <c r="A1270">
        <v>1933</v>
      </c>
      <c r="B1270" t="s">
        <v>10</v>
      </c>
      <c r="C1270">
        <v>-29</v>
      </c>
    </row>
    <row r="1271" spans="1:3" x14ac:dyDescent="0.5">
      <c r="A1271">
        <v>1934</v>
      </c>
      <c r="B1271" t="s">
        <v>10</v>
      </c>
      <c r="C1271">
        <v>-28</v>
      </c>
    </row>
    <row r="1272" spans="1:3" x14ac:dyDescent="0.5">
      <c r="A1272">
        <v>1935</v>
      </c>
      <c r="B1272" t="s">
        <v>10</v>
      </c>
      <c r="C1272">
        <v>-20</v>
      </c>
    </row>
    <row r="1273" spans="1:3" x14ac:dyDescent="0.5">
      <c r="A1273">
        <v>1936</v>
      </c>
      <c r="B1273" t="s">
        <v>10</v>
      </c>
      <c r="C1273">
        <v>-6</v>
      </c>
    </row>
    <row r="1274" spans="1:3" x14ac:dyDescent="0.5">
      <c r="A1274">
        <v>1937</v>
      </c>
      <c r="B1274" t="s">
        <v>10</v>
      </c>
      <c r="C1274">
        <v>2</v>
      </c>
    </row>
    <row r="1275" spans="1:3" x14ac:dyDescent="0.5">
      <c r="A1275">
        <v>1938</v>
      </c>
      <c r="B1275" t="s">
        <v>10</v>
      </c>
      <c r="C1275">
        <v>-21</v>
      </c>
    </row>
    <row r="1276" spans="1:3" x14ac:dyDescent="0.5">
      <c r="A1276">
        <v>1939</v>
      </c>
      <c r="B1276" t="s">
        <v>10</v>
      </c>
      <c r="C1276">
        <v>-17</v>
      </c>
    </row>
    <row r="1277" spans="1:3" x14ac:dyDescent="0.5">
      <c r="A1277">
        <v>1940</v>
      </c>
      <c r="B1277" t="s">
        <v>10</v>
      </c>
      <c r="C1277">
        <v>19</v>
      </c>
    </row>
    <row r="1278" spans="1:3" x14ac:dyDescent="0.5">
      <c r="A1278">
        <v>1941</v>
      </c>
      <c r="B1278" t="s">
        <v>10</v>
      </c>
      <c r="C1278">
        <v>44</v>
      </c>
    </row>
    <row r="1279" spans="1:3" x14ac:dyDescent="0.5">
      <c r="A1279">
        <v>1942</v>
      </c>
      <c r="B1279" t="s">
        <v>10</v>
      </c>
      <c r="C1279">
        <v>15</v>
      </c>
    </row>
    <row r="1280" spans="1:3" x14ac:dyDescent="0.5">
      <c r="A1280">
        <v>1943</v>
      </c>
      <c r="B1280" t="s">
        <v>10</v>
      </c>
      <c r="C1280">
        <v>-4</v>
      </c>
    </row>
    <row r="1281" spans="1:3" x14ac:dyDescent="0.5">
      <c r="A1281">
        <v>1944</v>
      </c>
      <c r="B1281" t="s">
        <v>10</v>
      </c>
      <c r="C1281">
        <v>11</v>
      </c>
    </row>
    <row r="1282" spans="1:3" x14ac:dyDescent="0.5">
      <c r="A1282">
        <v>1945</v>
      </c>
      <c r="B1282" t="s">
        <v>10</v>
      </c>
      <c r="C1282">
        <v>9</v>
      </c>
    </row>
    <row r="1283" spans="1:3" x14ac:dyDescent="0.5">
      <c r="A1283">
        <v>1946</v>
      </c>
      <c r="B1283" t="s">
        <v>10</v>
      </c>
      <c r="C1283">
        <v>5</v>
      </c>
    </row>
    <row r="1284" spans="1:3" x14ac:dyDescent="0.5">
      <c r="A1284">
        <v>1947</v>
      </c>
      <c r="B1284" t="s">
        <v>10</v>
      </c>
      <c r="C1284">
        <v>-9</v>
      </c>
    </row>
    <row r="1285" spans="1:3" x14ac:dyDescent="0.5">
      <c r="A1285">
        <v>1948</v>
      </c>
      <c r="B1285" t="s">
        <v>10</v>
      </c>
      <c r="C1285">
        <v>-22</v>
      </c>
    </row>
    <row r="1286" spans="1:3" x14ac:dyDescent="0.5">
      <c r="A1286">
        <v>1949</v>
      </c>
      <c r="B1286" t="s">
        <v>10</v>
      </c>
      <c r="C1286">
        <v>-22</v>
      </c>
    </row>
    <row r="1287" spans="1:3" x14ac:dyDescent="0.5">
      <c r="A1287">
        <v>1950</v>
      </c>
      <c r="B1287" t="s">
        <v>10</v>
      </c>
      <c r="C1287">
        <v>-28</v>
      </c>
    </row>
    <row r="1288" spans="1:3" x14ac:dyDescent="0.5">
      <c r="A1288">
        <v>1951</v>
      </c>
      <c r="B1288" t="s">
        <v>10</v>
      </c>
      <c r="C1288">
        <v>1</v>
      </c>
    </row>
    <row r="1289" spans="1:3" x14ac:dyDescent="0.5">
      <c r="A1289">
        <v>1952</v>
      </c>
      <c r="B1289" t="s">
        <v>10</v>
      </c>
      <c r="C1289">
        <v>0</v>
      </c>
    </row>
    <row r="1290" spans="1:3" x14ac:dyDescent="0.5">
      <c r="A1290">
        <v>1953</v>
      </c>
      <c r="B1290" t="s">
        <v>10</v>
      </c>
      <c r="C1290">
        <v>6</v>
      </c>
    </row>
    <row r="1291" spans="1:3" x14ac:dyDescent="0.5">
      <c r="A1291">
        <v>1954</v>
      </c>
      <c r="B1291" t="s">
        <v>10</v>
      </c>
      <c r="C1291">
        <v>-14</v>
      </c>
    </row>
    <row r="1292" spans="1:3" x14ac:dyDescent="0.5">
      <c r="A1292">
        <v>1955</v>
      </c>
      <c r="B1292" t="s">
        <v>10</v>
      </c>
      <c r="C1292">
        <v>-27</v>
      </c>
    </row>
    <row r="1293" spans="1:3" x14ac:dyDescent="0.5">
      <c r="A1293">
        <v>1956</v>
      </c>
      <c r="B1293" t="s">
        <v>10</v>
      </c>
      <c r="C1293">
        <v>-27</v>
      </c>
    </row>
    <row r="1294" spans="1:3" x14ac:dyDescent="0.5">
      <c r="A1294">
        <v>1957</v>
      </c>
      <c r="B1294" t="s">
        <v>10</v>
      </c>
      <c r="C1294">
        <v>6</v>
      </c>
    </row>
    <row r="1295" spans="1:3" x14ac:dyDescent="0.5">
      <c r="A1295">
        <v>1958</v>
      </c>
      <c r="B1295" t="s">
        <v>10</v>
      </c>
      <c r="C1295">
        <v>26</v>
      </c>
    </row>
    <row r="1296" spans="1:3" x14ac:dyDescent="0.5">
      <c r="A1296">
        <v>1959</v>
      </c>
      <c r="B1296" t="s">
        <v>10</v>
      </c>
      <c r="C1296">
        <v>5</v>
      </c>
    </row>
    <row r="1297" spans="1:3" x14ac:dyDescent="0.5">
      <c r="A1297">
        <v>1960</v>
      </c>
      <c r="B1297" t="s">
        <v>10</v>
      </c>
      <c r="C1297">
        <v>5</v>
      </c>
    </row>
    <row r="1298" spans="1:3" x14ac:dyDescent="0.5">
      <c r="A1298">
        <v>1961</v>
      </c>
      <c r="B1298" t="s">
        <v>10</v>
      </c>
      <c r="C1298">
        <v>-7</v>
      </c>
    </row>
    <row r="1299" spans="1:3" x14ac:dyDescent="0.5">
      <c r="A1299">
        <v>1962</v>
      </c>
      <c r="B1299" t="s">
        <v>10</v>
      </c>
      <c r="C1299">
        <v>-4</v>
      </c>
    </row>
    <row r="1300" spans="1:3" x14ac:dyDescent="0.5">
      <c r="A1300">
        <v>1963</v>
      </c>
      <c r="B1300" t="s">
        <v>10</v>
      </c>
      <c r="C1300">
        <v>13</v>
      </c>
    </row>
    <row r="1301" spans="1:3" x14ac:dyDescent="0.5">
      <c r="A1301">
        <v>1964</v>
      </c>
      <c r="B1301" t="s">
        <v>10</v>
      </c>
      <c r="C1301">
        <v>-14</v>
      </c>
    </row>
    <row r="1302" spans="1:3" x14ac:dyDescent="0.5">
      <c r="A1302">
        <v>1965</v>
      </c>
      <c r="B1302" t="s">
        <v>10</v>
      </c>
      <c r="C1302">
        <v>-7</v>
      </c>
    </row>
    <row r="1303" spans="1:3" x14ac:dyDescent="0.5">
      <c r="A1303">
        <v>1966</v>
      </c>
      <c r="B1303" t="s">
        <v>10</v>
      </c>
      <c r="C1303">
        <v>17</v>
      </c>
    </row>
    <row r="1304" spans="1:3" x14ac:dyDescent="0.5">
      <c r="A1304">
        <v>1967</v>
      </c>
      <c r="B1304" t="s">
        <v>10</v>
      </c>
      <c r="C1304">
        <v>-11</v>
      </c>
    </row>
    <row r="1305" spans="1:3" x14ac:dyDescent="0.5">
      <c r="A1305">
        <v>1968</v>
      </c>
      <c r="B1305" t="s">
        <v>10</v>
      </c>
      <c r="C1305">
        <v>-1</v>
      </c>
    </row>
    <row r="1306" spans="1:3" x14ac:dyDescent="0.5">
      <c r="A1306">
        <v>1969</v>
      </c>
      <c r="B1306" t="s">
        <v>10</v>
      </c>
      <c r="C1306">
        <v>35</v>
      </c>
    </row>
    <row r="1307" spans="1:3" x14ac:dyDescent="0.5">
      <c r="A1307">
        <v>1970</v>
      </c>
      <c r="B1307" t="s">
        <v>10</v>
      </c>
      <c r="C1307">
        <v>6</v>
      </c>
    </row>
    <row r="1308" spans="1:3" x14ac:dyDescent="0.5">
      <c r="A1308">
        <v>1971</v>
      </c>
      <c r="B1308" t="s">
        <v>10</v>
      </c>
      <c r="C1308">
        <v>-30</v>
      </c>
    </row>
    <row r="1309" spans="1:3" x14ac:dyDescent="0.5">
      <c r="A1309">
        <v>1972</v>
      </c>
      <c r="B1309" t="s">
        <v>10</v>
      </c>
      <c r="C1309">
        <v>6</v>
      </c>
    </row>
    <row r="1310" spans="1:3" x14ac:dyDescent="0.5">
      <c r="A1310">
        <v>1973</v>
      </c>
      <c r="B1310" t="s">
        <v>10</v>
      </c>
      <c r="C1310">
        <v>6</v>
      </c>
    </row>
    <row r="1311" spans="1:3" x14ac:dyDescent="0.5">
      <c r="A1311">
        <v>1974</v>
      </c>
      <c r="B1311" t="s">
        <v>10</v>
      </c>
      <c r="C1311">
        <v>-23</v>
      </c>
    </row>
    <row r="1312" spans="1:3" x14ac:dyDescent="0.5">
      <c r="A1312">
        <v>1975</v>
      </c>
      <c r="B1312" t="s">
        <v>10</v>
      </c>
      <c r="C1312">
        <v>-29</v>
      </c>
    </row>
    <row r="1313" spans="1:3" x14ac:dyDescent="0.5">
      <c r="A1313">
        <v>1976</v>
      </c>
      <c r="B1313" t="s">
        <v>10</v>
      </c>
      <c r="C1313">
        <v>-14</v>
      </c>
    </row>
    <row r="1314" spans="1:3" x14ac:dyDescent="0.5">
      <c r="A1314">
        <v>1977</v>
      </c>
      <c r="B1314" t="s">
        <v>10</v>
      </c>
      <c r="C1314">
        <v>10</v>
      </c>
    </row>
    <row r="1315" spans="1:3" x14ac:dyDescent="0.5">
      <c r="A1315">
        <v>1978</v>
      </c>
      <c r="B1315" t="s">
        <v>10</v>
      </c>
      <c r="C1315">
        <v>10</v>
      </c>
    </row>
    <row r="1316" spans="1:3" x14ac:dyDescent="0.5">
      <c r="A1316">
        <v>1979</v>
      </c>
      <c r="B1316" t="s">
        <v>10</v>
      </c>
      <c r="C1316">
        <v>24</v>
      </c>
    </row>
    <row r="1317" spans="1:3" x14ac:dyDescent="0.5">
      <c r="A1317">
        <v>1980</v>
      </c>
      <c r="B1317" t="s">
        <v>10</v>
      </c>
      <c r="C1317">
        <v>31</v>
      </c>
    </row>
    <row r="1318" spans="1:3" x14ac:dyDescent="0.5">
      <c r="A1318">
        <v>1981</v>
      </c>
      <c r="B1318" t="s">
        <v>10</v>
      </c>
      <c r="C1318">
        <v>22</v>
      </c>
    </row>
    <row r="1319" spans="1:3" x14ac:dyDescent="0.5">
      <c r="A1319">
        <v>1982</v>
      </c>
      <c r="B1319" t="s">
        <v>10</v>
      </c>
      <c r="C1319">
        <v>24</v>
      </c>
    </row>
    <row r="1320" spans="1:3" x14ac:dyDescent="0.5">
      <c r="A1320">
        <v>1983</v>
      </c>
      <c r="B1320" t="s">
        <v>10</v>
      </c>
      <c r="C1320">
        <v>30</v>
      </c>
    </row>
    <row r="1321" spans="1:3" x14ac:dyDescent="0.5">
      <c r="A1321">
        <v>1984</v>
      </c>
      <c r="B1321" t="s">
        <v>10</v>
      </c>
      <c r="C1321">
        <v>8</v>
      </c>
    </row>
    <row r="1322" spans="1:3" x14ac:dyDescent="0.5">
      <c r="A1322">
        <v>1985</v>
      </c>
      <c r="B1322" t="s">
        <v>10</v>
      </c>
      <c r="C1322">
        <v>4</v>
      </c>
    </row>
    <row r="1323" spans="1:3" x14ac:dyDescent="0.5">
      <c r="A1323">
        <v>1986</v>
      </c>
      <c r="B1323" t="s">
        <v>10</v>
      </c>
      <c r="C1323">
        <v>18</v>
      </c>
    </row>
    <row r="1324" spans="1:3" x14ac:dyDescent="0.5">
      <c r="A1324">
        <v>1987</v>
      </c>
      <c r="B1324" t="s">
        <v>10</v>
      </c>
      <c r="C1324">
        <v>56</v>
      </c>
    </row>
    <row r="1325" spans="1:3" x14ac:dyDescent="0.5">
      <c r="A1325">
        <v>1988</v>
      </c>
      <c r="B1325" t="s">
        <v>10</v>
      </c>
      <c r="C1325">
        <v>32</v>
      </c>
    </row>
    <row r="1326" spans="1:3" x14ac:dyDescent="0.5">
      <c r="A1326">
        <v>1989</v>
      </c>
      <c r="B1326" t="s">
        <v>10</v>
      </c>
      <c r="C1326">
        <v>10</v>
      </c>
    </row>
    <row r="1327" spans="1:3" x14ac:dyDescent="0.5">
      <c r="A1327">
        <v>1990</v>
      </c>
      <c r="B1327" t="s">
        <v>10</v>
      </c>
      <c r="C1327">
        <v>36</v>
      </c>
    </row>
    <row r="1328" spans="1:3" x14ac:dyDescent="0.5">
      <c r="A1328">
        <v>1991</v>
      </c>
      <c r="B1328" t="s">
        <v>10</v>
      </c>
      <c r="C1328">
        <v>34</v>
      </c>
    </row>
    <row r="1329" spans="1:3" x14ac:dyDescent="0.5">
      <c r="A1329">
        <v>1992</v>
      </c>
      <c r="B1329" t="s">
        <v>10</v>
      </c>
      <c r="C1329">
        <v>20</v>
      </c>
    </row>
    <row r="1330" spans="1:3" x14ac:dyDescent="0.5">
      <c r="A1330">
        <v>1993</v>
      </c>
      <c r="B1330" t="s">
        <v>10</v>
      </c>
      <c r="C1330">
        <v>29</v>
      </c>
    </row>
    <row r="1331" spans="1:3" x14ac:dyDescent="0.5">
      <c r="A1331">
        <v>1994</v>
      </c>
      <c r="B1331" t="s">
        <v>10</v>
      </c>
      <c r="C1331">
        <v>27</v>
      </c>
    </row>
    <row r="1332" spans="1:3" x14ac:dyDescent="0.5">
      <c r="A1332">
        <v>1995</v>
      </c>
      <c r="B1332" t="s">
        <v>10</v>
      </c>
      <c r="C1332">
        <v>40</v>
      </c>
    </row>
    <row r="1333" spans="1:3" x14ac:dyDescent="0.5">
      <c r="A1333">
        <v>1996</v>
      </c>
      <c r="B1333" t="s">
        <v>10</v>
      </c>
      <c r="C1333">
        <v>31</v>
      </c>
    </row>
    <row r="1334" spans="1:3" x14ac:dyDescent="0.5">
      <c r="A1334">
        <v>1997</v>
      </c>
      <c r="B1334" t="s">
        <v>10</v>
      </c>
      <c r="C1334">
        <v>52</v>
      </c>
    </row>
    <row r="1335" spans="1:3" x14ac:dyDescent="0.5">
      <c r="A1335">
        <v>1998</v>
      </c>
      <c r="B1335" t="s">
        <v>10</v>
      </c>
      <c r="C1335">
        <v>63</v>
      </c>
    </row>
    <row r="1336" spans="1:3" x14ac:dyDescent="0.5">
      <c r="A1336">
        <v>1999</v>
      </c>
      <c r="B1336" t="s">
        <v>10</v>
      </c>
      <c r="C1336">
        <v>19</v>
      </c>
    </row>
    <row r="1337" spans="1:3" x14ac:dyDescent="0.5">
      <c r="A1337">
        <v>2000</v>
      </c>
      <c r="B1337" t="s">
        <v>10</v>
      </c>
      <c r="C1337">
        <v>22</v>
      </c>
    </row>
    <row r="1338" spans="1:3" x14ac:dyDescent="0.5">
      <c r="A1338">
        <v>2001</v>
      </c>
      <c r="B1338" t="s">
        <v>10</v>
      </c>
      <c r="C1338">
        <v>41</v>
      </c>
    </row>
    <row r="1339" spans="1:3" x14ac:dyDescent="0.5">
      <c r="A1339">
        <v>2002</v>
      </c>
      <c r="B1339" t="s">
        <v>10</v>
      </c>
      <c r="C1339">
        <v>55</v>
      </c>
    </row>
    <row r="1340" spans="1:3" x14ac:dyDescent="0.5">
      <c r="A1340">
        <v>2003</v>
      </c>
      <c r="B1340" t="s">
        <v>10</v>
      </c>
      <c r="C1340">
        <v>59</v>
      </c>
    </row>
    <row r="1341" spans="1:3" x14ac:dyDescent="0.5">
      <c r="A1341">
        <v>2004</v>
      </c>
      <c r="B1341" t="s">
        <v>10</v>
      </c>
      <c r="C1341">
        <v>56</v>
      </c>
    </row>
    <row r="1342" spans="1:3" x14ac:dyDescent="0.5">
      <c r="A1342">
        <v>2005</v>
      </c>
      <c r="B1342" t="s">
        <v>10</v>
      </c>
      <c r="C1342">
        <v>61</v>
      </c>
    </row>
    <row r="1343" spans="1:3" x14ac:dyDescent="0.5">
      <c r="A1343">
        <v>2006</v>
      </c>
      <c r="B1343" t="s">
        <v>10</v>
      </c>
      <c r="C1343">
        <v>55</v>
      </c>
    </row>
    <row r="1344" spans="1:3" x14ac:dyDescent="0.5">
      <c r="A1344">
        <v>2007</v>
      </c>
      <c r="B1344" t="s">
        <v>10</v>
      </c>
      <c r="C1344">
        <v>44</v>
      </c>
    </row>
    <row r="1345" spans="1:3" x14ac:dyDescent="0.5">
      <c r="A1345">
        <v>2008</v>
      </c>
      <c r="B1345" t="s">
        <v>10</v>
      </c>
      <c r="C1345">
        <v>33</v>
      </c>
    </row>
    <row r="1346" spans="1:3" x14ac:dyDescent="0.5">
      <c r="A1346">
        <v>2009</v>
      </c>
      <c r="B1346" t="s">
        <v>10</v>
      </c>
      <c r="C1346">
        <v>66</v>
      </c>
    </row>
    <row r="1347" spans="1:3" x14ac:dyDescent="0.5">
      <c r="A1347">
        <v>2010</v>
      </c>
      <c r="B1347" t="s">
        <v>10</v>
      </c>
      <c r="C1347">
        <v>72</v>
      </c>
    </row>
    <row r="1348" spans="1:3" x14ac:dyDescent="0.5">
      <c r="A1348">
        <v>2011</v>
      </c>
      <c r="B1348" t="s">
        <v>10</v>
      </c>
      <c r="C1348">
        <v>38</v>
      </c>
    </row>
    <row r="1349" spans="1:3" x14ac:dyDescent="0.5">
      <c r="A1349">
        <v>2012</v>
      </c>
      <c r="B1349" t="s">
        <v>10</v>
      </c>
      <c r="C1349">
        <v>46</v>
      </c>
    </row>
    <row r="1350" spans="1:3" x14ac:dyDescent="0.5">
      <c r="A1350">
        <v>2013</v>
      </c>
      <c r="B1350" t="s">
        <v>10</v>
      </c>
      <c r="C1350">
        <v>57</v>
      </c>
    </row>
    <row r="1351" spans="1:3" x14ac:dyDescent="0.5">
      <c r="A1351">
        <v>2014</v>
      </c>
      <c r="B1351" t="s">
        <v>10</v>
      </c>
      <c r="C1351">
        <v>70</v>
      </c>
    </row>
    <row r="1352" spans="1:3" x14ac:dyDescent="0.5">
      <c r="A1352">
        <v>1880</v>
      </c>
      <c r="B1352" t="s">
        <v>11</v>
      </c>
      <c r="C1352">
        <v>-5</v>
      </c>
    </row>
    <row r="1353" spans="1:3" x14ac:dyDescent="0.5">
      <c r="A1353">
        <v>1881</v>
      </c>
      <c r="B1353" t="s">
        <v>11</v>
      </c>
      <c r="C1353">
        <v>2</v>
      </c>
    </row>
    <row r="1354" spans="1:3" x14ac:dyDescent="0.5">
      <c r="A1354">
        <v>1882</v>
      </c>
      <c r="B1354" t="s">
        <v>11</v>
      </c>
      <c r="C1354">
        <v>-8</v>
      </c>
    </row>
    <row r="1355" spans="1:3" x14ac:dyDescent="0.5">
      <c r="A1355">
        <v>1883</v>
      </c>
      <c r="B1355" t="s">
        <v>11</v>
      </c>
      <c r="C1355">
        <v>-19</v>
      </c>
    </row>
    <row r="1356" spans="1:3" x14ac:dyDescent="0.5">
      <c r="A1356">
        <v>1884</v>
      </c>
      <c r="B1356" t="s">
        <v>11</v>
      </c>
      <c r="C1356">
        <v>-14</v>
      </c>
    </row>
    <row r="1357" spans="1:3" x14ac:dyDescent="0.5">
      <c r="A1357">
        <v>1885</v>
      </c>
      <c r="B1357" t="s">
        <v>11</v>
      </c>
      <c r="C1357">
        <v>-23</v>
      </c>
    </row>
    <row r="1358" spans="1:3" x14ac:dyDescent="0.5">
      <c r="A1358">
        <v>1886</v>
      </c>
      <c r="B1358" t="s">
        <v>11</v>
      </c>
      <c r="C1358">
        <v>-24</v>
      </c>
    </row>
    <row r="1359" spans="1:3" x14ac:dyDescent="0.5">
      <c r="A1359">
        <v>1887</v>
      </c>
      <c r="B1359" t="s">
        <v>11</v>
      </c>
      <c r="C1359">
        <v>-31</v>
      </c>
    </row>
    <row r="1360" spans="1:3" x14ac:dyDescent="0.5">
      <c r="A1360">
        <v>1888</v>
      </c>
      <c r="B1360" t="s">
        <v>11</v>
      </c>
      <c r="C1360">
        <v>8</v>
      </c>
    </row>
    <row r="1361" spans="1:3" x14ac:dyDescent="0.5">
      <c r="A1361">
        <v>1889</v>
      </c>
      <c r="B1361" t="s">
        <v>11</v>
      </c>
      <c r="C1361">
        <v>11</v>
      </c>
    </row>
    <row r="1362" spans="1:3" x14ac:dyDescent="0.5">
      <c r="A1362">
        <v>1890</v>
      </c>
      <c r="B1362" t="s">
        <v>11</v>
      </c>
      <c r="C1362">
        <v>-43</v>
      </c>
    </row>
    <row r="1363" spans="1:3" x14ac:dyDescent="0.5">
      <c r="A1363">
        <v>1891</v>
      </c>
      <c r="B1363" t="s">
        <v>11</v>
      </c>
      <c r="C1363">
        <v>-24</v>
      </c>
    </row>
    <row r="1364" spans="1:3" x14ac:dyDescent="0.5">
      <c r="A1364">
        <v>1892</v>
      </c>
      <c r="B1364" t="s">
        <v>11</v>
      </c>
      <c r="C1364">
        <v>-29</v>
      </c>
    </row>
    <row r="1365" spans="1:3" x14ac:dyDescent="0.5">
      <c r="A1365">
        <v>1893</v>
      </c>
      <c r="B1365" t="s">
        <v>11</v>
      </c>
      <c r="C1365">
        <v>-36</v>
      </c>
    </row>
    <row r="1366" spans="1:3" x14ac:dyDescent="0.5">
      <c r="A1366">
        <v>1894</v>
      </c>
      <c r="B1366" t="s">
        <v>11</v>
      </c>
      <c r="C1366">
        <v>-23</v>
      </c>
    </row>
    <row r="1367" spans="1:3" x14ac:dyDescent="0.5">
      <c r="A1367">
        <v>1895</v>
      </c>
      <c r="B1367" t="s">
        <v>11</v>
      </c>
      <c r="C1367">
        <v>-8</v>
      </c>
    </row>
    <row r="1368" spans="1:3" x14ac:dyDescent="0.5">
      <c r="A1368">
        <v>1896</v>
      </c>
      <c r="B1368" t="s">
        <v>11</v>
      </c>
      <c r="C1368">
        <v>8</v>
      </c>
    </row>
    <row r="1369" spans="1:3" x14ac:dyDescent="0.5">
      <c r="A1369">
        <v>1897</v>
      </c>
      <c r="B1369" t="s">
        <v>11</v>
      </c>
      <c r="C1369">
        <v>18</v>
      </c>
    </row>
    <row r="1370" spans="1:3" x14ac:dyDescent="0.5">
      <c r="A1370">
        <v>1898</v>
      </c>
      <c r="B1370" t="s">
        <v>11</v>
      </c>
      <c r="C1370">
        <v>-29</v>
      </c>
    </row>
    <row r="1371" spans="1:3" x14ac:dyDescent="0.5">
      <c r="A1371">
        <v>1899</v>
      </c>
      <c r="B1371" t="s">
        <v>11</v>
      </c>
      <c r="C1371">
        <v>-10</v>
      </c>
    </row>
    <row r="1372" spans="1:3" x14ac:dyDescent="0.5">
      <c r="A1372">
        <v>1900</v>
      </c>
      <c r="B1372" t="s">
        <v>11</v>
      </c>
      <c r="C1372">
        <v>19</v>
      </c>
    </row>
    <row r="1373" spans="1:3" x14ac:dyDescent="0.5">
      <c r="A1373">
        <v>1901</v>
      </c>
      <c r="B1373" t="s">
        <v>11</v>
      </c>
      <c r="C1373">
        <v>-6</v>
      </c>
    </row>
    <row r="1374" spans="1:3" x14ac:dyDescent="0.5">
      <c r="A1374">
        <v>1902</v>
      </c>
      <c r="B1374" t="s">
        <v>11</v>
      </c>
      <c r="C1374">
        <v>-8</v>
      </c>
    </row>
    <row r="1375" spans="1:3" x14ac:dyDescent="0.5">
      <c r="A1375">
        <v>1903</v>
      </c>
      <c r="B1375" t="s">
        <v>11</v>
      </c>
      <c r="C1375">
        <v>-37</v>
      </c>
    </row>
    <row r="1376" spans="1:3" x14ac:dyDescent="0.5">
      <c r="A1376">
        <v>1904</v>
      </c>
      <c r="B1376" t="s">
        <v>11</v>
      </c>
      <c r="C1376">
        <v>-48</v>
      </c>
    </row>
    <row r="1377" spans="1:3" x14ac:dyDescent="0.5">
      <c r="A1377">
        <v>1905</v>
      </c>
      <c r="B1377" t="s">
        <v>11</v>
      </c>
      <c r="C1377">
        <v>-11</v>
      </c>
    </row>
    <row r="1378" spans="1:3" x14ac:dyDescent="0.5">
      <c r="A1378">
        <v>1906</v>
      </c>
      <c r="B1378" t="s">
        <v>11</v>
      </c>
      <c r="C1378">
        <v>-21</v>
      </c>
    </row>
    <row r="1379" spans="1:3" x14ac:dyDescent="0.5">
      <c r="A1379">
        <v>1907</v>
      </c>
      <c r="B1379" t="s">
        <v>11</v>
      </c>
      <c r="C1379">
        <v>-36</v>
      </c>
    </row>
    <row r="1380" spans="1:3" x14ac:dyDescent="0.5">
      <c r="A1380">
        <v>1908</v>
      </c>
      <c r="B1380" t="s">
        <v>11</v>
      </c>
      <c r="C1380">
        <v>-49</v>
      </c>
    </row>
    <row r="1381" spans="1:3" x14ac:dyDescent="0.5">
      <c r="A1381">
        <v>1909</v>
      </c>
      <c r="B1381" t="s">
        <v>11</v>
      </c>
      <c r="C1381">
        <v>-55</v>
      </c>
    </row>
    <row r="1382" spans="1:3" x14ac:dyDescent="0.5">
      <c r="A1382">
        <v>1910</v>
      </c>
      <c r="B1382" t="s">
        <v>11</v>
      </c>
      <c r="C1382">
        <v>-54</v>
      </c>
    </row>
    <row r="1383" spans="1:3" x14ac:dyDescent="0.5">
      <c r="A1383">
        <v>1911</v>
      </c>
      <c r="B1383" t="s">
        <v>11</v>
      </c>
      <c r="C1383">
        <v>-47</v>
      </c>
    </row>
    <row r="1384" spans="1:3" x14ac:dyDescent="0.5">
      <c r="A1384">
        <v>1912</v>
      </c>
      <c r="B1384" t="s">
        <v>11</v>
      </c>
      <c r="C1384">
        <v>-11</v>
      </c>
    </row>
    <row r="1385" spans="1:3" x14ac:dyDescent="0.5">
      <c r="A1385">
        <v>1913</v>
      </c>
      <c r="B1385" t="s">
        <v>11</v>
      </c>
      <c r="C1385">
        <v>-16</v>
      </c>
    </row>
    <row r="1386" spans="1:3" x14ac:dyDescent="0.5">
      <c r="A1386">
        <v>1914</v>
      </c>
      <c r="B1386" t="s">
        <v>11</v>
      </c>
      <c r="C1386">
        <v>-2</v>
      </c>
    </row>
    <row r="1387" spans="1:3" x14ac:dyDescent="0.5">
      <c r="A1387">
        <v>1915</v>
      </c>
      <c r="B1387" t="s">
        <v>11</v>
      </c>
      <c r="C1387">
        <v>-1</v>
      </c>
    </row>
    <row r="1388" spans="1:3" x14ac:dyDescent="0.5">
      <c r="A1388">
        <v>1916</v>
      </c>
      <c r="B1388" t="s">
        <v>11</v>
      </c>
      <c r="C1388">
        <v>-42</v>
      </c>
    </row>
    <row r="1389" spans="1:3" x14ac:dyDescent="0.5">
      <c r="A1389">
        <v>1917</v>
      </c>
      <c r="B1389" t="s">
        <v>11</v>
      </c>
      <c r="C1389">
        <v>-51</v>
      </c>
    </row>
    <row r="1390" spans="1:3" x14ac:dyDescent="0.5">
      <c r="A1390">
        <v>1918</v>
      </c>
      <c r="B1390" t="s">
        <v>11</v>
      </c>
      <c r="C1390">
        <v>-22</v>
      </c>
    </row>
    <row r="1391" spans="1:3" x14ac:dyDescent="0.5">
      <c r="A1391">
        <v>1919</v>
      </c>
      <c r="B1391" t="s">
        <v>11</v>
      </c>
      <c r="C1391">
        <v>-5</v>
      </c>
    </row>
    <row r="1392" spans="1:3" x14ac:dyDescent="0.5">
      <c r="A1392">
        <v>1920</v>
      </c>
      <c r="B1392" t="s">
        <v>11</v>
      </c>
      <c r="C1392">
        <v>-14</v>
      </c>
    </row>
    <row r="1393" spans="1:3" x14ac:dyDescent="0.5">
      <c r="A1393">
        <v>1921</v>
      </c>
      <c r="B1393" t="s">
        <v>11</v>
      </c>
      <c r="C1393">
        <v>-25</v>
      </c>
    </row>
    <row r="1394" spans="1:3" x14ac:dyDescent="0.5">
      <c r="A1394">
        <v>1922</v>
      </c>
      <c r="B1394" t="s">
        <v>11</v>
      </c>
      <c r="C1394">
        <v>-29</v>
      </c>
    </row>
    <row r="1395" spans="1:3" x14ac:dyDescent="0.5">
      <c r="A1395">
        <v>1923</v>
      </c>
      <c r="B1395" t="s">
        <v>11</v>
      </c>
      <c r="C1395">
        <v>-27</v>
      </c>
    </row>
    <row r="1396" spans="1:3" x14ac:dyDescent="0.5">
      <c r="A1396">
        <v>1924</v>
      </c>
      <c r="B1396" t="s">
        <v>11</v>
      </c>
      <c r="C1396">
        <v>-24</v>
      </c>
    </row>
    <row r="1397" spans="1:3" x14ac:dyDescent="0.5">
      <c r="A1397">
        <v>1925</v>
      </c>
      <c r="B1397" t="s">
        <v>11</v>
      </c>
      <c r="C1397">
        <v>-22</v>
      </c>
    </row>
    <row r="1398" spans="1:3" x14ac:dyDescent="0.5">
      <c r="A1398">
        <v>1926</v>
      </c>
      <c r="B1398" t="s">
        <v>11</v>
      </c>
      <c r="C1398">
        <v>5</v>
      </c>
    </row>
    <row r="1399" spans="1:3" x14ac:dyDescent="0.5">
      <c r="A1399">
        <v>1927</v>
      </c>
      <c r="B1399" t="s">
        <v>11</v>
      </c>
      <c r="C1399">
        <v>-17</v>
      </c>
    </row>
    <row r="1400" spans="1:3" x14ac:dyDescent="0.5">
      <c r="A1400">
        <v>1928</v>
      </c>
      <c r="B1400" t="s">
        <v>11</v>
      </c>
      <c r="C1400">
        <v>-14</v>
      </c>
    </row>
    <row r="1401" spans="1:3" x14ac:dyDescent="0.5">
      <c r="A1401">
        <v>1929</v>
      </c>
      <c r="B1401" t="s">
        <v>11</v>
      </c>
      <c r="C1401">
        <v>-29</v>
      </c>
    </row>
    <row r="1402" spans="1:3" x14ac:dyDescent="0.5">
      <c r="A1402">
        <v>1930</v>
      </c>
      <c r="B1402" t="s">
        <v>11</v>
      </c>
      <c r="C1402">
        <v>-15</v>
      </c>
    </row>
    <row r="1403" spans="1:3" x14ac:dyDescent="0.5">
      <c r="A1403">
        <v>1931</v>
      </c>
      <c r="B1403" t="s">
        <v>11</v>
      </c>
      <c r="C1403">
        <v>0</v>
      </c>
    </row>
    <row r="1404" spans="1:3" x14ac:dyDescent="0.5">
      <c r="A1404">
        <v>1932</v>
      </c>
      <c r="B1404" t="s">
        <v>11</v>
      </c>
      <c r="C1404">
        <v>-18</v>
      </c>
    </row>
    <row r="1405" spans="1:3" x14ac:dyDescent="0.5">
      <c r="A1405">
        <v>1933</v>
      </c>
      <c r="B1405" t="s">
        <v>11</v>
      </c>
      <c r="C1405">
        <v>-29</v>
      </c>
    </row>
    <row r="1406" spans="1:3" x14ac:dyDescent="0.5">
      <c r="A1406">
        <v>1934</v>
      </c>
      <c r="B1406" t="s">
        <v>11</v>
      </c>
      <c r="C1406">
        <v>-26</v>
      </c>
    </row>
    <row r="1407" spans="1:3" x14ac:dyDescent="0.5">
      <c r="A1407">
        <v>1935</v>
      </c>
      <c r="B1407" t="s">
        <v>11</v>
      </c>
      <c r="C1407">
        <v>-24</v>
      </c>
    </row>
    <row r="1408" spans="1:3" x14ac:dyDescent="0.5">
      <c r="A1408">
        <v>1936</v>
      </c>
      <c r="B1408" t="s">
        <v>11</v>
      </c>
      <c r="C1408">
        <v>-23</v>
      </c>
    </row>
    <row r="1409" spans="1:3" x14ac:dyDescent="0.5">
      <c r="A1409">
        <v>1937</v>
      </c>
      <c r="B1409" t="s">
        <v>11</v>
      </c>
      <c r="C1409">
        <v>-14</v>
      </c>
    </row>
    <row r="1410" spans="1:3" x14ac:dyDescent="0.5">
      <c r="A1410">
        <v>1938</v>
      </c>
      <c r="B1410" t="s">
        <v>11</v>
      </c>
      <c r="C1410">
        <v>-31</v>
      </c>
    </row>
    <row r="1411" spans="1:3" x14ac:dyDescent="0.5">
      <c r="A1411">
        <v>1939</v>
      </c>
      <c r="B1411" t="s">
        <v>11</v>
      </c>
      <c r="C1411">
        <v>-18</v>
      </c>
    </row>
    <row r="1412" spans="1:3" x14ac:dyDescent="0.5">
      <c r="A1412">
        <v>1940</v>
      </c>
      <c r="B1412" t="s">
        <v>11</v>
      </c>
      <c r="C1412">
        <v>18</v>
      </c>
    </row>
    <row r="1413" spans="1:3" x14ac:dyDescent="0.5">
      <c r="A1413">
        <v>1941</v>
      </c>
      <c r="B1413" t="s">
        <v>11</v>
      </c>
      <c r="C1413">
        <v>34</v>
      </c>
    </row>
    <row r="1414" spans="1:3" x14ac:dyDescent="0.5">
      <c r="A1414">
        <v>1942</v>
      </c>
      <c r="B1414" t="s">
        <v>11</v>
      </c>
      <c r="C1414">
        <v>14</v>
      </c>
    </row>
    <row r="1415" spans="1:3" x14ac:dyDescent="0.5">
      <c r="A1415">
        <v>1943</v>
      </c>
      <c r="B1415" t="s">
        <v>11</v>
      </c>
      <c r="C1415">
        <v>5</v>
      </c>
    </row>
    <row r="1416" spans="1:3" x14ac:dyDescent="0.5">
      <c r="A1416">
        <v>1944</v>
      </c>
      <c r="B1416" t="s">
        <v>11</v>
      </c>
      <c r="C1416">
        <v>32</v>
      </c>
    </row>
    <row r="1417" spans="1:3" x14ac:dyDescent="0.5">
      <c r="A1417">
        <v>1945</v>
      </c>
      <c r="B1417" t="s">
        <v>11</v>
      </c>
      <c r="C1417">
        <v>35</v>
      </c>
    </row>
    <row r="1418" spans="1:3" x14ac:dyDescent="0.5">
      <c r="A1418">
        <v>1946</v>
      </c>
      <c r="B1418" t="s">
        <v>11</v>
      </c>
      <c r="C1418">
        <v>-7</v>
      </c>
    </row>
    <row r="1419" spans="1:3" x14ac:dyDescent="0.5">
      <c r="A1419">
        <v>1947</v>
      </c>
      <c r="B1419" t="s">
        <v>11</v>
      </c>
      <c r="C1419">
        <v>-9</v>
      </c>
    </row>
    <row r="1420" spans="1:3" x14ac:dyDescent="0.5">
      <c r="A1420">
        <v>1948</v>
      </c>
      <c r="B1420" t="s">
        <v>11</v>
      </c>
      <c r="C1420">
        <v>-14</v>
      </c>
    </row>
    <row r="1421" spans="1:3" x14ac:dyDescent="0.5">
      <c r="A1421">
        <v>1949</v>
      </c>
      <c r="B1421" t="s">
        <v>11</v>
      </c>
      <c r="C1421">
        <v>-13</v>
      </c>
    </row>
    <row r="1422" spans="1:3" x14ac:dyDescent="0.5">
      <c r="A1422">
        <v>1950</v>
      </c>
      <c r="B1422" t="s">
        <v>11</v>
      </c>
      <c r="C1422">
        <v>-26</v>
      </c>
    </row>
    <row r="1423" spans="1:3" x14ac:dyDescent="0.5">
      <c r="A1423">
        <v>1951</v>
      </c>
      <c r="B1423" t="s">
        <v>11</v>
      </c>
      <c r="C1423">
        <v>-13</v>
      </c>
    </row>
    <row r="1424" spans="1:3" x14ac:dyDescent="0.5">
      <c r="A1424">
        <v>1952</v>
      </c>
      <c r="B1424" t="s">
        <v>11</v>
      </c>
      <c r="C1424">
        <v>3</v>
      </c>
    </row>
    <row r="1425" spans="1:3" x14ac:dyDescent="0.5">
      <c r="A1425">
        <v>1953</v>
      </c>
      <c r="B1425" t="s">
        <v>11</v>
      </c>
      <c r="C1425">
        <v>5</v>
      </c>
    </row>
    <row r="1426" spans="1:3" x14ac:dyDescent="0.5">
      <c r="A1426">
        <v>1954</v>
      </c>
      <c r="B1426" t="s">
        <v>11</v>
      </c>
      <c r="C1426">
        <v>-28</v>
      </c>
    </row>
    <row r="1427" spans="1:3" x14ac:dyDescent="0.5">
      <c r="A1427">
        <v>1955</v>
      </c>
      <c r="B1427" t="s">
        <v>11</v>
      </c>
      <c r="C1427">
        <v>-38</v>
      </c>
    </row>
    <row r="1428" spans="1:3" x14ac:dyDescent="0.5">
      <c r="A1428">
        <v>1956</v>
      </c>
      <c r="B1428" t="s">
        <v>11</v>
      </c>
      <c r="C1428">
        <v>-37</v>
      </c>
    </row>
    <row r="1429" spans="1:3" x14ac:dyDescent="0.5">
      <c r="A1429">
        <v>1957</v>
      </c>
      <c r="B1429" t="s">
        <v>11</v>
      </c>
      <c r="C1429">
        <v>8</v>
      </c>
    </row>
    <row r="1430" spans="1:3" x14ac:dyDescent="0.5">
      <c r="A1430">
        <v>1958</v>
      </c>
      <c r="B1430" t="s">
        <v>11</v>
      </c>
      <c r="C1430">
        <v>14</v>
      </c>
    </row>
    <row r="1431" spans="1:3" x14ac:dyDescent="0.5">
      <c r="A1431">
        <v>1959</v>
      </c>
      <c r="B1431" t="s">
        <v>11</v>
      </c>
      <c r="C1431">
        <v>8</v>
      </c>
    </row>
    <row r="1432" spans="1:3" x14ac:dyDescent="0.5">
      <c r="A1432">
        <v>1960</v>
      </c>
      <c r="B1432" t="s">
        <v>11</v>
      </c>
      <c r="C1432">
        <v>-3</v>
      </c>
    </row>
    <row r="1433" spans="1:3" x14ac:dyDescent="0.5">
      <c r="A1433">
        <v>1961</v>
      </c>
      <c r="B1433" t="s">
        <v>11</v>
      </c>
      <c r="C1433">
        <v>1</v>
      </c>
    </row>
    <row r="1434" spans="1:3" x14ac:dyDescent="0.5">
      <c r="A1434">
        <v>1962</v>
      </c>
      <c r="B1434" t="s">
        <v>11</v>
      </c>
      <c r="C1434">
        <v>-5</v>
      </c>
    </row>
    <row r="1435" spans="1:3" x14ac:dyDescent="0.5">
      <c r="A1435">
        <v>1963</v>
      </c>
      <c r="B1435" t="s">
        <v>11</v>
      </c>
      <c r="C1435">
        <v>9</v>
      </c>
    </row>
    <row r="1436" spans="1:3" x14ac:dyDescent="0.5">
      <c r="A1436">
        <v>1964</v>
      </c>
      <c r="B1436" t="s">
        <v>11</v>
      </c>
      <c r="C1436">
        <v>-13</v>
      </c>
    </row>
    <row r="1437" spans="1:3" x14ac:dyDescent="0.5">
      <c r="A1437">
        <v>1965</v>
      </c>
      <c r="B1437" t="s">
        <v>11</v>
      </c>
      <c r="C1437">
        <v>1</v>
      </c>
    </row>
    <row r="1438" spans="1:3" x14ac:dyDescent="0.5">
      <c r="A1438">
        <v>1966</v>
      </c>
      <c r="B1438" t="s">
        <v>11</v>
      </c>
      <c r="C1438">
        <v>-1</v>
      </c>
    </row>
    <row r="1439" spans="1:3" x14ac:dyDescent="0.5">
      <c r="A1439">
        <v>1967</v>
      </c>
      <c r="B1439" t="s">
        <v>11</v>
      </c>
      <c r="C1439">
        <v>-16</v>
      </c>
    </row>
    <row r="1440" spans="1:3" x14ac:dyDescent="0.5">
      <c r="A1440">
        <v>1968</v>
      </c>
      <c r="B1440" t="s">
        <v>11</v>
      </c>
      <c r="C1440">
        <v>-10</v>
      </c>
    </row>
    <row r="1441" spans="1:3" x14ac:dyDescent="0.5">
      <c r="A1441">
        <v>1969</v>
      </c>
      <c r="B1441" t="s">
        <v>11</v>
      </c>
      <c r="C1441">
        <v>29</v>
      </c>
    </row>
    <row r="1442" spans="1:3" x14ac:dyDescent="0.5">
      <c r="A1442">
        <v>1970</v>
      </c>
      <c r="B1442" t="s">
        <v>11</v>
      </c>
      <c r="C1442">
        <v>6</v>
      </c>
    </row>
    <row r="1443" spans="1:3" x14ac:dyDescent="0.5">
      <c r="A1443">
        <v>1971</v>
      </c>
      <c r="B1443" t="s">
        <v>11</v>
      </c>
      <c r="C1443">
        <v>-22</v>
      </c>
    </row>
    <row r="1444" spans="1:3" x14ac:dyDescent="0.5">
      <c r="A1444">
        <v>1972</v>
      </c>
      <c r="B1444" t="s">
        <v>11</v>
      </c>
      <c r="C1444">
        <v>26</v>
      </c>
    </row>
    <row r="1445" spans="1:3" x14ac:dyDescent="0.5">
      <c r="A1445">
        <v>1973</v>
      </c>
      <c r="B1445" t="s">
        <v>11</v>
      </c>
      <c r="C1445">
        <v>28</v>
      </c>
    </row>
    <row r="1446" spans="1:3" x14ac:dyDescent="0.5">
      <c r="A1446">
        <v>1974</v>
      </c>
      <c r="B1446" t="s">
        <v>11</v>
      </c>
      <c r="C1446">
        <v>-16</v>
      </c>
    </row>
    <row r="1447" spans="1:3" x14ac:dyDescent="0.5">
      <c r="A1447">
        <v>1975</v>
      </c>
      <c r="B1447" t="s">
        <v>11</v>
      </c>
      <c r="C1447">
        <v>-14</v>
      </c>
    </row>
    <row r="1448" spans="1:3" x14ac:dyDescent="0.5">
      <c r="A1448">
        <v>1976</v>
      </c>
      <c r="B1448" t="s">
        <v>11</v>
      </c>
      <c r="C1448">
        <v>-7</v>
      </c>
    </row>
    <row r="1449" spans="1:3" x14ac:dyDescent="0.5">
      <c r="A1449">
        <v>1977</v>
      </c>
      <c r="B1449" t="s">
        <v>11</v>
      </c>
      <c r="C1449">
        <v>23</v>
      </c>
    </row>
    <row r="1450" spans="1:3" x14ac:dyDescent="0.5">
      <c r="A1450">
        <v>1978</v>
      </c>
      <c r="B1450" t="s">
        <v>11</v>
      </c>
      <c r="C1450">
        <v>7</v>
      </c>
    </row>
    <row r="1451" spans="1:3" x14ac:dyDescent="0.5">
      <c r="A1451">
        <v>1979</v>
      </c>
      <c r="B1451" t="s">
        <v>11</v>
      </c>
      <c r="C1451">
        <v>27</v>
      </c>
    </row>
    <row r="1452" spans="1:3" x14ac:dyDescent="0.5">
      <c r="A1452">
        <v>1980</v>
      </c>
      <c r="B1452" t="s">
        <v>11</v>
      </c>
      <c r="C1452">
        <v>28</v>
      </c>
    </row>
    <row r="1453" spans="1:3" x14ac:dyDescent="0.5">
      <c r="A1453">
        <v>1981</v>
      </c>
      <c r="B1453" t="s">
        <v>11</v>
      </c>
      <c r="C1453">
        <v>16</v>
      </c>
    </row>
    <row r="1454" spans="1:3" x14ac:dyDescent="0.5">
      <c r="A1454">
        <v>1982</v>
      </c>
      <c r="B1454" t="s">
        <v>11</v>
      </c>
      <c r="C1454">
        <v>30</v>
      </c>
    </row>
    <row r="1455" spans="1:3" x14ac:dyDescent="0.5">
      <c r="A1455">
        <v>1983</v>
      </c>
      <c r="B1455" t="s">
        <v>11</v>
      </c>
      <c r="C1455">
        <v>58</v>
      </c>
    </row>
    <row r="1456" spans="1:3" x14ac:dyDescent="0.5">
      <c r="A1456">
        <v>1984</v>
      </c>
      <c r="B1456" t="s">
        <v>11</v>
      </c>
      <c r="C1456">
        <v>30</v>
      </c>
    </row>
    <row r="1457" spans="1:3" x14ac:dyDescent="0.5">
      <c r="A1457">
        <v>1985</v>
      </c>
      <c r="B1457" t="s">
        <v>11</v>
      </c>
      <c r="C1457">
        <v>18</v>
      </c>
    </row>
    <row r="1458" spans="1:3" x14ac:dyDescent="0.5">
      <c r="A1458">
        <v>1986</v>
      </c>
      <c r="B1458" t="s">
        <v>11</v>
      </c>
      <c r="C1458">
        <v>30</v>
      </c>
    </row>
    <row r="1459" spans="1:3" x14ac:dyDescent="0.5">
      <c r="A1459">
        <v>1987</v>
      </c>
      <c r="B1459" t="s">
        <v>11</v>
      </c>
      <c r="C1459">
        <v>63</v>
      </c>
    </row>
    <row r="1460" spans="1:3" x14ac:dyDescent="0.5">
      <c r="A1460">
        <v>1988</v>
      </c>
      <c r="B1460" t="s">
        <v>11</v>
      </c>
      <c r="C1460">
        <v>45</v>
      </c>
    </row>
    <row r="1461" spans="1:3" x14ac:dyDescent="0.5">
      <c r="A1461">
        <v>1989</v>
      </c>
      <c r="B1461" t="s">
        <v>11</v>
      </c>
      <c r="C1461">
        <v>22</v>
      </c>
    </row>
    <row r="1462" spans="1:3" x14ac:dyDescent="0.5">
      <c r="A1462">
        <v>1990</v>
      </c>
      <c r="B1462" t="s">
        <v>11</v>
      </c>
      <c r="C1462">
        <v>39</v>
      </c>
    </row>
    <row r="1463" spans="1:3" x14ac:dyDescent="0.5">
      <c r="A1463">
        <v>1991</v>
      </c>
      <c r="B1463" t="s">
        <v>11</v>
      </c>
      <c r="C1463">
        <v>44</v>
      </c>
    </row>
    <row r="1464" spans="1:3" x14ac:dyDescent="0.5">
      <c r="A1464">
        <v>1992</v>
      </c>
      <c r="B1464" t="s">
        <v>11</v>
      </c>
      <c r="C1464">
        <v>41</v>
      </c>
    </row>
    <row r="1465" spans="1:3" x14ac:dyDescent="0.5">
      <c r="A1465">
        <v>1993</v>
      </c>
      <c r="B1465" t="s">
        <v>11</v>
      </c>
      <c r="C1465">
        <v>38</v>
      </c>
    </row>
    <row r="1466" spans="1:3" x14ac:dyDescent="0.5">
      <c r="A1466">
        <v>1994</v>
      </c>
      <c r="B1466" t="s">
        <v>11</v>
      </c>
      <c r="C1466">
        <v>37</v>
      </c>
    </row>
    <row r="1467" spans="1:3" x14ac:dyDescent="0.5">
      <c r="A1467">
        <v>1995</v>
      </c>
      <c r="B1467" t="s">
        <v>11</v>
      </c>
      <c r="C1467">
        <v>49</v>
      </c>
    </row>
    <row r="1468" spans="1:3" x14ac:dyDescent="0.5">
      <c r="A1468">
        <v>1996</v>
      </c>
      <c r="B1468" t="s">
        <v>11</v>
      </c>
      <c r="C1468">
        <v>37</v>
      </c>
    </row>
    <row r="1469" spans="1:3" x14ac:dyDescent="0.5">
      <c r="A1469">
        <v>1997</v>
      </c>
      <c r="B1469" t="s">
        <v>11</v>
      </c>
      <c r="C1469">
        <v>54</v>
      </c>
    </row>
    <row r="1470" spans="1:3" x14ac:dyDescent="0.5">
      <c r="A1470">
        <v>1998</v>
      </c>
      <c r="B1470" t="s">
        <v>11</v>
      </c>
      <c r="C1470">
        <v>81</v>
      </c>
    </row>
    <row r="1471" spans="1:3" x14ac:dyDescent="0.5">
      <c r="A1471">
        <v>1999</v>
      </c>
      <c r="B1471" t="s">
        <v>11</v>
      </c>
      <c r="C1471">
        <v>32</v>
      </c>
    </row>
    <row r="1472" spans="1:3" x14ac:dyDescent="0.5">
      <c r="A1472">
        <v>2000</v>
      </c>
      <c r="B1472" t="s">
        <v>11</v>
      </c>
      <c r="C1472">
        <v>33</v>
      </c>
    </row>
    <row r="1473" spans="1:3" x14ac:dyDescent="0.5">
      <c r="A1473">
        <v>2001</v>
      </c>
      <c r="B1473" t="s">
        <v>11</v>
      </c>
      <c r="C1473">
        <v>48</v>
      </c>
    </row>
    <row r="1474" spans="1:3" x14ac:dyDescent="0.5">
      <c r="A1474">
        <v>2002</v>
      </c>
      <c r="B1474" t="s">
        <v>11</v>
      </c>
      <c r="C1474">
        <v>67</v>
      </c>
    </row>
    <row r="1475" spans="1:3" x14ac:dyDescent="0.5">
      <c r="A1475">
        <v>2003</v>
      </c>
      <c r="B1475" t="s">
        <v>11</v>
      </c>
      <c r="C1475">
        <v>68</v>
      </c>
    </row>
    <row r="1476" spans="1:3" x14ac:dyDescent="0.5">
      <c r="A1476">
        <v>2004</v>
      </c>
      <c r="B1476" t="s">
        <v>11</v>
      </c>
      <c r="C1476">
        <v>58</v>
      </c>
    </row>
    <row r="1477" spans="1:3" x14ac:dyDescent="0.5">
      <c r="A1477">
        <v>2005</v>
      </c>
      <c r="B1477" t="s">
        <v>11</v>
      </c>
      <c r="C1477">
        <v>69</v>
      </c>
    </row>
    <row r="1478" spans="1:3" x14ac:dyDescent="0.5">
      <c r="A1478">
        <v>2006</v>
      </c>
      <c r="B1478" t="s">
        <v>11</v>
      </c>
      <c r="C1478">
        <v>58</v>
      </c>
    </row>
    <row r="1479" spans="1:3" x14ac:dyDescent="0.5">
      <c r="A1479">
        <v>2007</v>
      </c>
      <c r="B1479" t="s">
        <v>11</v>
      </c>
      <c r="C1479">
        <v>50</v>
      </c>
    </row>
    <row r="1480" spans="1:3" x14ac:dyDescent="0.5">
      <c r="A1480">
        <v>2008</v>
      </c>
      <c r="B1480" t="s">
        <v>11</v>
      </c>
      <c r="C1480">
        <v>45</v>
      </c>
    </row>
    <row r="1481" spans="1:3" x14ac:dyDescent="0.5">
      <c r="A1481">
        <v>2009</v>
      </c>
      <c r="B1481" t="s">
        <v>11</v>
      </c>
      <c r="C1481">
        <v>71</v>
      </c>
    </row>
    <row r="1482" spans="1:3" x14ac:dyDescent="0.5">
      <c r="A1482">
        <v>2010</v>
      </c>
      <c r="B1482" t="s">
        <v>11</v>
      </c>
      <c r="C1482">
        <v>66</v>
      </c>
    </row>
    <row r="1483" spans="1:3" x14ac:dyDescent="0.5">
      <c r="A1483">
        <v>2011</v>
      </c>
      <c r="B1483" t="s">
        <v>11</v>
      </c>
      <c r="C1483">
        <v>37</v>
      </c>
    </row>
    <row r="1484" spans="1:3" x14ac:dyDescent="0.5">
      <c r="A1484">
        <v>2012</v>
      </c>
      <c r="B1484" t="s">
        <v>11</v>
      </c>
      <c r="C1484">
        <v>57</v>
      </c>
    </row>
    <row r="1485" spans="1:3" x14ac:dyDescent="0.5">
      <c r="A1485">
        <v>2013</v>
      </c>
      <c r="B1485" t="s">
        <v>11</v>
      </c>
      <c r="C1485">
        <v>58</v>
      </c>
    </row>
    <row r="1486" spans="1:3" x14ac:dyDescent="0.5">
      <c r="A1486">
        <v>2014</v>
      </c>
      <c r="B1486" t="s">
        <v>11</v>
      </c>
      <c r="C1486">
        <v>64</v>
      </c>
    </row>
    <row r="1487" spans="1:3" x14ac:dyDescent="0.5">
      <c r="A1487">
        <v>1880</v>
      </c>
      <c r="B1487" t="s">
        <v>12</v>
      </c>
      <c r="C1487">
        <v>-2</v>
      </c>
    </row>
    <row r="1488" spans="1:3" x14ac:dyDescent="0.5">
      <c r="A1488">
        <v>1881</v>
      </c>
      <c r="B1488" t="s">
        <v>12</v>
      </c>
      <c r="C1488">
        <v>-6</v>
      </c>
    </row>
    <row r="1489" spans="1:3" x14ac:dyDescent="0.5">
      <c r="A1489">
        <v>1882</v>
      </c>
      <c r="B1489" t="s">
        <v>12</v>
      </c>
      <c r="C1489">
        <v>3</v>
      </c>
    </row>
    <row r="1490" spans="1:3" x14ac:dyDescent="0.5">
      <c r="A1490">
        <v>1883</v>
      </c>
      <c r="B1490" t="s">
        <v>12</v>
      </c>
      <c r="C1490">
        <v>-1</v>
      </c>
    </row>
    <row r="1491" spans="1:3" x14ac:dyDescent="0.5">
      <c r="A1491">
        <v>1884</v>
      </c>
      <c r="B1491" t="s">
        <v>12</v>
      </c>
      <c r="C1491">
        <v>-15</v>
      </c>
    </row>
    <row r="1492" spans="1:3" x14ac:dyDescent="0.5">
      <c r="A1492">
        <v>1885</v>
      </c>
      <c r="B1492" t="s">
        <v>12</v>
      </c>
      <c r="C1492">
        <v>-27</v>
      </c>
    </row>
    <row r="1493" spans="1:3" x14ac:dyDescent="0.5">
      <c r="A1493">
        <v>1886</v>
      </c>
      <c r="B1493" t="s">
        <v>12</v>
      </c>
      <c r="C1493">
        <v>-18</v>
      </c>
    </row>
    <row r="1494" spans="1:3" x14ac:dyDescent="0.5">
      <c r="A1494">
        <v>1887</v>
      </c>
      <c r="B1494" t="s">
        <v>12</v>
      </c>
      <c r="C1494">
        <v>-24</v>
      </c>
    </row>
    <row r="1495" spans="1:3" x14ac:dyDescent="0.5">
      <c r="A1495">
        <v>1888</v>
      </c>
      <c r="B1495" t="s">
        <v>12</v>
      </c>
      <c r="C1495">
        <v>-30</v>
      </c>
    </row>
    <row r="1496" spans="1:3" x14ac:dyDescent="0.5">
      <c r="A1496">
        <v>1889</v>
      </c>
      <c r="B1496" t="s">
        <v>12</v>
      </c>
      <c r="C1496">
        <v>-16</v>
      </c>
    </row>
    <row r="1497" spans="1:3" x14ac:dyDescent="0.5">
      <c r="A1497">
        <v>1890</v>
      </c>
      <c r="B1497" t="s">
        <v>12</v>
      </c>
      <c r="C1497">
        <v>-16</v>
      </c>
    </row>
    <row r="1498" spans="1:3" x14ac:dyDescent="0.5">
      <c r="A1498">
        <v>1891</v>
      </c>
      <c r="B1498" t="s">
        <v>12</v>
      </c>
      <c r="C1498">
        <v>-20</v>
      </c>
    </row>
    <row r="1499" spans="1:3" x14ac:dyDescent="0.5">
      <c r="A1499">
        <v>1892</v>
      </c>
      <c r="B1499" t="s">
        <v>12</v>
      </c>
      <c r="C1499">
        <v>-4</v>
      </c>
    </row>
    <row r="1500" spans="1:3" x14ac:dyDescent="0.5">
      <c r="A1500">
        <v>1893</v>
      </c>
      <c r="B1500" t="s">
        <v>12</v>
      </c>
      <c r="C1500">
        <v>3</v>
      </c>
    </row>
    <row r="1501" spans="1:3" x14ac:dyDescent="0.5">
      <c r="A1501">
        <v>1894</v>
      </c>
      <c r="B1501" t="s">
        <v>12</v>
      </c>
      <c r="C1501">
        <v>-16</v>
      </c>
    </row>
    <row r="1502" spans="1:3" x14ac:dyDescent="0.5">
      <c r="A1502">
        <v>1895</v>
      </c>
      <c r="B1502" t="s">
        <v>12</v>
      </c>
      <c r="C1502">
        <v>-21</v>
      </c>
    </row>
    <row r="1503" spans="1:3" x14ac:dyDescent="0.5">
      <c r="A1503">
        <v>1896</v>
      </c>
      <c r="B1503" t="s">
        <v>12</v>
      </c>
      <c r="C1503">
        <v>-15</v>
      </c>
    </row>
    <row r="1504" spans="1:3" x14ac:dyDescent="0.5">
      <c r="A1504">
        <v>1897</v>
      </c>
      <c r="B1504" t="s">
        <v>12</v>
      </c>
      <c r="C1504">
        <v>-21</v>
      </c>
    </row>
    <row r="1505" spans="1:3" x14ac:dyDescent="0.5">
      <c r="A1505">
        <v>1898</v>
      </c>
      <c r="B1505" t="s">
        <v>12</v>
      </c>
      <c r="C1505">
        <v>-27</v>
      </c>
    </row>
    <row r="1506" spans="1:3" x14ac:dyDescent="0.5">
      <c r="A1506">
        <v>1899</v>
      </c>
      <c r="B1506" t="s">
        <v>12</v>
      </c>
      <c r="C1506">
        <v>-13</v>
      </c>
    </row>
    <row r="1507" spans="1:3" x14ac:dyDescent="0.5">
      <c r="A1507">
        <v>1900</v>
      </c>
      <c r="B1507" t="s">
        <v>12</v>
      </c>
      <c r="C1507">
        <v>-31</v>
      </c>
    </row>
    <row r="1508" spans="1:3" x14ac:dyDescent="0.5">
      <c r="A1508">
        <v>1901</v>
      </c>
      <c r="B1508" t="s">
        <v>12</v>
      </c>
      <c r="C1508">
        <v>-29</v>
      </c>
    </row>
    <row r="1509" spans="1:3" x14ac:dyDescent="0.5">
      <c r="A1509">
        <v>1902</v>
      </c>
      <c r="B1509" t="s">
        <v>12</v>
      </c>
      <c r="C1509">
        <v>-27</v>
      </c>
    </row>
    <row r="1510" spans="1:3" x14ac:dyDescent="0.5">
      <c r="A1510">
        <v>1903</v>
      </c>
      <c r="B1510" t="s">
        <v>12</v>
      </c>
      <c r="C1510">
        <v>-37</v>
      </c>
    </row>
    <row r="1511" spans="1:3" x14ac:dyDescent="0.5">
      <c r="A1511">
        <v>1904</v>
      </c>
      <c r="B1511" t="s">
        <v>12</v>
      </c>
      <c r="C1511">
        <v>-36</v>
      </c>
    </row>
    <row r="1512" spans="1:3" x14ac:dyDescent="0.5">
      <c r="A1512">
        <v>1905</v>
      </c>
      <c r="B1512" t="s">
        <v>12</v>
      </c>
      <c r="C1512">
        <v>-37</v>
      </c>
    </row>
    <row r="1513" spans="1:3" x14ac:dyDescent="0.5">
      <c r="A1513">
        <v>1906</v>
      </c>
      <c r="B1513" t="s">
        <v>12</v>
      </c>
      <c r="C1513">
        <v>-23</v>
      </c>
    </row>
    <row r="1514" spans="1:3" x14ac:dyDescent="0.5">
      <c r="A1514">
        <v>1907</v>
      </c>
      <c r="B1514" t="s">
        <v>12</v>
      </c>
      <c r="C1514">
        <v>-25</v>
      </c>
    </row>
    <row r="1515" spans="1:3" x14ac:dyDescent="0.5">
      <c r="A1515">
        <v>1908</v>
      </c>
      <c r="B1515" t="s">
        <v>12</v>
      </c>
      <c r="C1515">
        <v>-31</v>
      </c>
    </row>
    <row r="1516" spans="1:3" x14ac:dyDescent="0.5">
      <c r="A1516">
        <v>1909</v>
      </c>
      <c r="B1516" t="s">
        <v>12</v>
      </c>
      <c r="C1516">
        <v>-38</v>
      </c>
    </row>
    <row r="1517" spans="1:3" x14ac:dyDescent="0.5">
      <c r="A1517">
        <v>1910</v>
      </c>
      <c r="B1517" t="s">
        <v>12</v>
      </c>
      <c r="C1517">
        <v>-32</v>
      </c>
    </row>
    <row r="1518" spans="1:3" x14ac:dyDescent="0.5">
      <c r="A1518">
        <v>1911</v>
      </c>
      <c r="B1518" t="s">
        <v>12</v>
      </c>
      <c r="C1518">
        <v>-43</v>
      </c>
    </row>
    <row r="1519" spans="1:3" x14ac:dyDescent="0.5">
      <c r="A1519">
        <v>1912</v>
      </c>
      <c r="B1519" t="s">
        <v>12</v>
      </c>
      <c r="C1519">
        <v>-37</v>
      </c>
    </row>
    <row r="1520" spans="1:3" x14ac:dyDescent="0.5">
      <c r="A1520">
        <v>1913</v>
      </c>
      <c r="B1520" t="s">
        <v>12</v>
      </c>
      <c r="C1520">
        <v>-29</v>
      </c>
    </row>
    <row r="1521" spans="1:3" x14ac:dyDescent="0.5">
      <c r="A1521">
        <v>1914</v>
      </c>
      <c r="B1521" t="s">
        <v>12</v>
      </c>
      <c r="C1521">
        <v>-17</v>
      </c>
    </row>
    <row r="1522" spans="1:3" x14ac:dyDescent="0.5">
      <c r="A1522">
        <v>1915</v>
      </c>
      <c r="B1522" t="s">
        <v>12</v>
      </c>
      <c r="C1522">
        <v>-10</v>
      </c>
    </row>
    <row r="1523" spans="1:3" x14ac:dyDescent="0.5">
      <c r="A1523">
        <v>1916</v>
      </c>
      <c r="B1523" t="s">
        <v>12</v>
      </c>
      <c r="C1523">
        <v>-22</v>
      </c>
    </row>
    <row r="1524" spans="1:3" x14ac:dyDescent="0.5">
      <c r="A1524">
        <v>1917</v>
      </c>
      <c r="B1524" t="s">
        <v>12</v>
      </c>
      <c r="C1524">
        <v>-17</v>
      </c>
    </row>
    <row r="1525" spans="1:3" x14ac:dyDescent="0.5">
      <c r="A1525">
        <v>1918</v>
      </c>
      <c r="B1525" t="s">
        <v>12</v>
      </c>
      <c r="C1525">
        <v>-8</v>
      </c>
    </row>
    <row r="1526" spans="1:3" x14ac:dyDescent="0.5">
      <c r="A1526">
        <v>1919</v>
      </c>
      <c r="B1526" t="s">
        <v>12</v>
      </c>
      <c r="C1526">
        <v>-7</v>
      </c>
    </row>
    <row r="1527" spans="1:3" x14ac:dyDescent="0.5">
      <c r="A1527">
        <v>1920</v>
      </c>
      <c r="B1527" t="s">
        <v>12</v>
      </c>
      <c r="C1527">
        <v>-20</v>
      </c>
    </row>
    <row r="1528" spans="1:3" x14ac:dyDescent="0.5">
      <c r="A1528">
        <v>1921</v>
      </c>
      <c r="B1528" t="s">
        <v>12</v>
      </c>
      <c r="C1528">
        <v>-25</v>
      </c>
    </row>
    <row r="1529" spans="1:3" x14ac:dyDescent="0.5">
      <c r="A1529">
        <v>1922</v>
      </c>
      <c r="B1529" t="s">
        <v>12</v>
      </c>
      <c r="C1529">
        <v>-23</v>
      </c>
    </row>
    <row r="1530" spans="1:3" x14ac:dyDescent="0.5">
      <c r="A1530">
        <v>1923</v>
      </c>
      <c r="B1530" t="s">
        <v>12</v>
      </c>
      <c r="C1530">
        <v>-26</v>
      </c>
    </row>
    <row r="1531" spans="1:3" x14ac:dyDescent="0.5">
      <c r="A1531">
        <v>1924</v>
      </c>
      <c r="B1531" t="s">
        <v>12</v>
      </c>
      <c r="C1531">
        <v>-38</v>
      </c>
    </row>
    <row r="1532" spans="1:3" x14ac:dyDescent="0.5">
      <c r="A1532">
        <v>1925</v>
      </c>
      <c r="B1532" t="s">
        <v>12</v>
      </c>
      <c r="C1532">
        <v>-24</v>
      </c>
    </row>
    <row r="1533" spans="1:3" x14ac:dyDescent="0.5">
      <c r="A1533">
        <v>1926</v>
      </c>
      <c r="B1533" t="s">
        <v>12</v>
      </c>
      <c r="C1533">
        <v>-32</v>
      </c>
    </row>
    <row r="1534" spans="1:3" x14ac:dyDescent="0.5">
      <c r="A1534">
        <v>1927</v>
      </c>
      <c r="B1534" t="s">
        <v>12</v>
      </c>
      <c r="C1534">
        <v>-31</v>
      </c>
    </row>
    <row r="1535" spans="1:3" x14ac:dyDescent="0.5">
      <c r="A1535">
        <v>1928</v>
      </c>
      <c r="B1535" t="s">
        <v>12</v>
      </c>
      <c r="C1535">
        <v>-32</v>
      </c>
    </row>
    <row r="1536" spans="1:3" x14ac:dyDescent="0.5">
      <c r="A1536">
        <v>1929</v>
      </c>
      <c r="B1536" t="s">
        <v>12</v>
      </c>
      <c r="C1536">
        <v>-41</v>
      </c>
    </row>
    <row r="1537" spans="1:3" x14ac:dyDescent="0.5">
      <c r="A1537">
        <v>1930</v>
      </c>
      <c r="B1537" t="s">
        <v>12</v>
      </c>
      <c r="C1537">
        <v>-31</v>
      </c>
    </row>
    <row r="1538" spans="1:3" x14ac:dyDescent="0.5">
      <c r="A1538">
        <v>1931</v>
      </c>
      <c r="B1538" t="s">
        <v>12</v>
      </c>
      <c r="C1538">
        <v>-42</v>
      </c>
    </row>
    <row r="1539" spans="1:3" x14ac:dyDescent="0.5">
      <c r="A1539">
        <v>1932</v>
      </c>
      <c r="B1539" t="s">
        <v>12</v>
      </c>
      <c r="C1539">
        <v>-25</v>
      </c>
    </row>
    <row r="1540" spans="1:3" x14ac:dyDescent="0.5">
      <c r="A1540">
        <v>1933</v>
      </c>
      <c r="B1540" t="s">
        <v>12</v>
      </c>
      <c r="C1540">
        <v>-22</v>
      </c>
    </row>
    <row r="1541" spans="1:3" x14ac:dyDescent="0.5">
      <c r="A1541">
        <v>1934</v>
      </c>
      <c r="B1541" t="s">
        <v>12</v>
      </c>
      <c r="C1541">
        <v>-23</v>
      </c>
    </row>
    <row r="1542" spans="1:3" x14ac:dyDescent="0.5">
      <c r="A1542">
        <v>1935</v>
      </c>
      <c r="B1542" t="s">
        <v>12</v>
      </c>
      <c r="C1542">
        <v>-29</v>
      </c>
    </row>
    <row r="1543" spans="1:3" x14ac:dyDescent="0.5">
      <c r="A1543">
        <v>1936</v>
      </c>
      <c r="B1543" t="s">
        <v>12</v>
      </c>
      <c r="C1543">
        <v>-27</v>
      </c>
    </row>
    <row r="1544" spans="1:3" x14ac:dyDescent="0.5">
      <c r="A1544">
        <v>1937</v>
      </c>
      <c r="B1544" t="s">
        <v>12</v>
      </c>
      <c r="C1544">
        <v>-21</v>
      </c>
    </row>
    <row r="1545" spans="1:3" x14ac:dyDescent="0.5">
      <c r="A1545">
        <v>1938</v>
      </c>
      <c r="B1545" t="s">
        <v>12</v>
      </c>
      <c r="C1545">
        <v>-9</v>
      </c>
    </row>
    <row r="1546" spans="1:3" x14ac:dyDescent="0.5">
      <c r="A1546">
        <v>1939</v>
      </c>
      <c r="B1546" t="s">
        <v>12</v>
      </c>
      <c r="C1546">
        <v>-5</v>
      </c>
    </row>
    <row r="1547" spans="1:3" x14ac:dyDescent="0.5">
      <c r="A1547">
        <v>1940</v>
      </c>
      <c r="B1547" t="s">
        <v>12</v>
      </c>
      <c r="C1547">
        <v>1</v>
      </c>
    </row>
    <row r="1548" spans="1:3" x14ac:dyDescent="0.5">
      <c r="A1548">
        <v>1941</v>
      </c>
      <c r="B1548" t="s">
        <v>12</v>
      </c>
      <c r="C1548">
        <v>2</v>
      </c>
    </row>
    <row r="1549" spans="1:3" x14ac:dyDescent="0.5">
      <c r="A1549">
        <v>1942</v>
      </c>
      <c r="B1549" t="s">
        <v>12</v>
      </c>
      <c r="C1549">
        <v>8</v>
      </c>
    </row>
    <row r="1550" spans="1:3" x14ac:dyDescent="0.5">
      <c r="A1550">
        <v>1943</v>
      </c>
      <c r="B1550" t="s">
        <v>12</v>
      </c>
      <c r="C1550">
        <v>13</v>
      </c>
    </row>
    <row r="1551" spans="1:3" x14ac:dyDescent="0.5">
      <c r="A1551">
        <v>1944</v>
      </c>
      <c r="B1551" t="s">
        <v>12</v>
      </c>
      <c r="C1551">
        <v>32</v>
      </c>
    </row>
    <row r="1552" spans="1:3" x14ac:dyDescent="0.5">
      <c r="A1552">
        <v>1945</v>
      </c>
      <c r="B1552" t="s">
        <v>12</v>
      </c>
      <c r="C1552">
        <v>14</v>
      </c>
    </row>
    <row r="1553" spans="1:3" x14ac:dyDescent="0.5">
      <c r="A1553">
        <v>1946</v>
      </c>
      <c r="B1553" t="s">
        <v>12</v>
      </c>
      <c r="C1553">
        <v>-18</v>
      </c>
    </row>
    <row r="1554" spans="1:3" x14ac:dyDescent="0.5">
      <c r="A1554">
        <v>1947</v>
      </c>
      <c r="B1554" t="s">
        <v>12</v>
      </c>
      <c r="C1554">
        <v>-16</v>
      </c>
    </row>
    <row r="1555" spans="1:3" x14ac:dyDescent="0.5">
      <c r="A1555">
        <v>1948</v>
      </c>
      <c r="B1555" t="s">
        <v>12</v>
      </c>
      <c r="C1555">
        <v>-19</v>
      </c>
    </row>
    <row r="1556" spans="1:3" x14ac:dyDescent="0.5">
      <c r="A1556">
        <v>1949</v>
      </c>
      <c r="B1556" t="s">
        <v>12</v>
      </c>
      <c r="C1556">
        <v>-15</v>
      </c>
    </row>
    <row r="1557" spans="1:3" x14ac:dyDescent="0.5">
      <c r="A1557">
        <v>1950</v>
      </c>
      <c r="B1557" t="s">
        <v>12</v>
      </c>
      <c r="C1557">
        <v>-5</v>
      </c>
    </row>
    <row r="1558" spans="1:3" x14ac:dyDescent="0.5">
      <c r="A1558">
        <v>1951</v>
      </c>
      <c r="B1558" t="s">
        <v>12</v>
      </c>
      <c r="C1558">
        <v>-20</v>
      </c>
    </row>
    <row r="1559" spans="1:3" x14ac:dyDescent="0.5">
      <c r="A1559">
        <v>1952</v>
      </c>
      <c r="B1559" t="s">
        <v>12</v>
      </c>
      <c r="C1559">
        <v>-9</v>
      </c>
    </row>
    <row r="1560" spans="1:3" x14ac:dyDescent="0.5">
      <c r="A1560">
        <v>1953</v>
      </c>
      <c r="B1560" t="s">
        <v>12</v>
      </c>
      <c r="C1560">
        <v>-10</v>
      </c>
    </row>
    <row r="1561" spans="1:3" x14ac:dyDescent="0.5">
      <c r="A1561">
        <v>1954</v>
      </c>
      <c r="B1561" t="s">
        <v>12</v>
      </c>
      <c r="C1561">
        <v>-16</v>
      </c>
    </row>
    <row r="1562" spans="1:3" x14ac:dyDescent="0.5">
      <c r="A1562">
        <v>1955</v>
      </c>
      <c r="B1562" t="s">
        <v>12</v>
      </c>
      <c r="C1562">
        <v>-16</v>
      </c>
    </row>
    <row r="1563" spans="1:3" x14ac:dyDescent="0.5">
      <c r="A1563">
        <v>1956</v>
      </c>
      <c r="B1563" t="s">
        <v>12</v>
      </c>
      <c r="C1563">
        <v>-11</v>
      </c>
    </row>
    <row r="1564" spans="1:3" x14ac:dyDescent="0.5">
      <c r="A1564">
        <v>1957</v>
      </c>
      <c r="B1564" t="s">
        <v>12</v>
      </c>
      <c r="C1564">
        <v>-8</v>
      </c>
    </row>
    <row r="1565" spans="1:3" x14ac:dyDescent="0.5">
      <c r="A1565">
        <v>1958</v>
      </c>
      <c r="B1565" t="s">
        <v>12</v>
      </c>
      <c r="C1565">
        <v>-9</v>
      </c>
    </row>
    <row r="1566" spans="1:3" x14ac:dyDescent="0.5">
      <c r="A1566">
        <v>1959</v>
      </c>
      <c r="B1566" t="s">
        <v>12</v>
      </c>
      <c r="C1566">
        <v>-4</v>
      </c>
    </row>
    <row r="1567" spans="1:3" x14ac:dyDescent="0.5">
      <c r="A1567">
        <v>1960</v>
      </c>
      <c r="B1567" t="s">
        <v>12</v>
      </c>
      <c r="C1567">
        <v>-10</v>
      </c>
    </row>
    <row r="1568" spans="1:3" x14ac:dyDescent="0.5">
      <c r="A1568">
        <v>1961</v>
      </c>
      <c r="B1568" t="s">
        <v>12</v>
      </c>
      <c r="C1568">
        <v>11</v>
      </c>
    </row>
    <row r="1569" spans="1:3" x14ac:dyDescent="0.5">
      <c r="A1569">
        <v>1962</v>
      </c>
      <c r="B1569" t="s">
        <v>12</v>
      </c>
      <c r="C1569">
        <v>6</v>
      </c>
    </row>
    <row r="1570" spans="1:3" x14ac:dyDescent="0.5">
      <c r="A1570">
        <v>1963</v>
      </c>
      <c r="B1570" t="s">
        <v>12</v>
      </c>
      <c r="C1570">
        <v>-11</v>
      </c>
    </row>
    <row r="1571" spans="1:3" x14ac:dyDescent="0.5">
      <c r="A1571">
        <v>1964</v>
      </c>
      <c r="B1571" t="s">
        <v>12</v>
      </c>
      <c r="C1571">
        <v>-30</v>
      </c>
    </row>
    <row r="1572" spans="1:3" x14ac:dyDescent="0.5">
      <c r="A1572">
        <v>1965</v>
      </c>
      <c r="B1572" t="s">
        <v>12</v>
      </c>
      <c r="C1572">
        <v>-21</v>
      </c>
    </row>
    <row r="1573" spans="1:3" x14ac:dyDescent="0.5">
      <c r="A1573">
        <v>1966</v>
      </c>
      <c r="B1573" t="s">
        <v>12</v>
      </c>
      <c r="C1573">
        <v>-24</v>
      </c>
    </row>
    <row r="1574" spans="1:3" x14ac:dyDescent="0.5">
      <c r="A1574">
        <v>1967</v>
      </c>
      <c r="B1574" t="s">
        <v>12</v>
      </c>
      <c r="C1574">
        <v>-7</v>
      </c>
    </row>
    <row r="1575" spans="1:3" x14ac:dyDescent="0.5">
      <c r="A1575">
        <v>1968</v>
      </c>
      <c r="B1575" t="s">
        <v>12</v>
      </c>
      <c r="C1575">
        <v>-12</v>
      </c>
    </row>
    <row r="1576" spans="1:3" x14ac:dyDescent="0.5">
      <c r="A1576">
        <v>1969</v>
      </c>
      <c r="B1576" t="s">
        <v>12</v>
      </c>
      <c r="C1576">
        <v>2</v>
      </c>
    </row>
    <row r="1577" spans="1:3" x14ac:dyDescent="0.5">
      <c r="A1577">
        <v>1970</v>
      </c>
      <c r="B1577" t="s">
        <v>12</v>
      </c>
      <c r="C1577">
        <v>9</v>
      </c>
    </row>
    <row r="1578" spans="1:3" x14ac:dyDescent="0.5">
      <c r="A1578">
        <v>1971</v>
      </c>
      <c r="B1578" t="s">
        <v>12</v>
      </c>
      <c r="C1578">
        <v>4</v>
      </c>
    </row>
    <row r="1579" spans="1:3" x14ac:dyDescent="0.5">
      <c r="A1579">
        <v>1972</v>
      </c>
      <c r="B1579" t="s">
        <v>12</v>
      </c>
      <c r="C1579">
        <v>14</v>
      </c>
    </row>
    <row r="1580" spans="1:3" x14ac:dyDescent="0.5">
      <c r="A1580">
        <v>1973</v>
      </c>
      <c r="B1580" t="s">
        <v>12</v>
      </c>
      <c r="C1580">
        <v>20</v>
      </c>
    </row>
    <row r="1581" spans="1:3" x14ac:dyDescent="0.5">
      <c r="A1581">
        <v>1974</v>
      </c>
      <c r="B1581" t="s">
        <v>12</v>
      </c>
      <c r="C1581">
        <v>21</v>
      </c>
    </row>
    <row r="1582" spans="1:3" x14ac:dyDescent="0.5">
      <c r="A1582">
        <v>1975</v>
      </c>
      <c r="B1582" t="s">
        <v>12</v>
      </c>
      <c r="C1582">
        <v>13</v>
      </c>
    </row>
    <row r="1583" spans="1:3" x14ac:dyDescent="0.5">
      <c r="A1583">
        <v>1976</v>
      </c>
      <c r="B1583" t="s">
        <v>12</v>
      </c>
      <c r="C1583">
        <v>9</v>
      </c>
    </row>
    <row r="1584" spans="1:3" x14ac:dyDescent="0.5">
      <c r="A1584">
        <v>1977</v>
      </c>
      <c r="B1584" t="s">
        <v>12</v>
      </c>
      <c r="C1584">
        <v>23</v>
      </c>
    </row>
    <row r="1585" spans="1:3" x14ac:dyDescent="0.5">
      <c r="A1585">
        <v>1978</v>
      </c>
      <c r="B1585" t="s">
        <v>12</v>
      </c>
      <c r="C1585">
        <v>20</v>
      </c>
    </row>
    <row r="1586" spans="1:3" x14ac:dyDescent="0.5">
      <c r="A1586">
        <v>1979</v>
      </c>
      <c r="B1586" t="s">
        <v>12</v>
      </c>
      <c r="C1586">
        <v>32</v>
      </c>
    </row>
    <row r="1587" spans="1:3" x14ac:dyDescent="0.5">
      <c r="A1587">
        <v>1980</v>
      </c>
      <c r="B1587" t="s">
        <v>12</v>
      </c>
      <c r="C1587">
        <v>35</v>
      </c>
    </row>
    <row r="1588" spans="1:3" x14ac:dyDescent="0.5">
      <c r="A1588">
        <v>1981</v>
      </c>
      <c r="B1588" t="s">
        <v>12</v>
      </c>
      <c r="C1588">
        <v>29</v>
      </c>
    </row>
    <row r="1589" spans="1:3" x14ac:dyDescent="0.5">
      <c r="A1589">
        <v>1982</v>
      </c>
      <c r="B1589" t="s">
        <v>12</v>
      </c>
      <c r="C1589">
        <v>18</v>
      </c>
    </row>
    <row r="1590" spans="1:3" x14ac:dyDescent="0.5">
      <c r="A1590">
        <v>1983</v>
      </c>
      <c r="B1590" t="s">
        <v>12</v>
      </c>
      <c r="C1590">
        <v>20</v>
      </c>
    </row>
    <row r="1591" spans="1:3" x14ac:dyDescent="0.5">
      <c r="A1591">
        <v>1984</v>
      </c>
      <c r="B1591" t="s">
        <v>12</v>
      </c>
      <c r="C1591">
        <v>16</v>
      </c>
    </row>
    <row r="1592" spans="1:3" x14ac:dyDescent="0.5">
      <c r="A1592">
        <v>1985</v>
      </c>
      <c r="B1592" t="s">
        <v>12</v>
      </c>
      <c r="C1592">
        <v>29</v>
      </c>
    </row>
    <row r="1593" spans="1:3" x14ac:dyDescent="0.5">
      <c r="A1593">
        <v>1986</v>
      </c>
      <c r="B1593" t="s">
        <v>12</v>
      </c>
      <c r="C1593">
        <v>26</v>
      </c>
    </row>
    <row r="1594" spans="1:3" x14ac:dyDescent="0.5">
      <c r="A1594">
        <v>1987</v>
      </c>
      <c r="B1594" t="s">
        <v>12</v>
      </c>
      <c r="C1594">
        <v>33</v>
      </c>
    </row>
    <row r="1595" spans="1:3" x14ac:dyDescent="0.5">
      <c r="A1595">
        <v>1988</v>
      </c>
      <c r="B1595" t="s">
        <v>12</v>
      </c>
      <c r="C1595">
        <v>39</v>
      </c>
    </row>
    <row r="1596" spans="1:3" x14ac:dyDescent="0.5">
      <c r="A1596">
        <v>1989</v>
      </c>
      <c r="B1596" t="s">
        <v>12</v>
      </c>
      <c r="C1596">
        <v>37</v>
      </c>
    </row>
    <row r="1597" spans="1:3" x14ac:dyDescent="0.5">
      <c r="A1597">
        <v>1990</v>
      </c>
      <c r="B1597" t="s">
        <v>12</v>
      </c>
      <c r="C1597">
        <v>38</v>
      </c>
    </row>
    <row r="1598" spans="1:3" x14ac:dyDescent="0.5">
      <c r="A1598">
        <v>1991</v>
      </c>
      <c r="B1598" t="s">
        <v>12</v>
      </c>
      <c r="C1598">
        <v>33</v>
      </c>
    </row>
    <row r="1599" spans="1:3" x14ac:dyDescent="0.5">
      <c r="A1599">
        <v>1992</v>
      </c>
      <c r="B1599" t="s">
        <v>12</v>
      </c>
      <c r="C1599">
        <v>21</v>
      </c>
    </row>
    <row r="1600" spans="1:3" x14ac:dyDescent="0.5">
      <c r="A1600">
        <v>1993</v>
      </c>
      <c r="B1600" t="s">
        <v>12</v>
      </c>
      <c r="C1600">
        <v>26</v>
      </c>
    </row>
    <row r="1601" spans="1:3" x14ac:dyDescent="0.5">
      <c r="A1601">
        <v>1994</v>
      </c>
      <c r="B1601" t="s">
        <v>12</v>
      </c>
      <c r="C1601">
        <v>27</v>
      </c>
    </row>
    <row r="1602" spans="1:3" x14ac:dyDescent="0.5">
      <c r="A1602">
        <v>1995</v>
      </c>
      <c r="B1602" t="s">
        <v>12</v>
      </c>
      <c r="C1602">
        <v>32</v>
      </c>
    </row>
    <row r="1603" spans="1:3" x14ac:dyDescent="0.5">
      <c r="A1603">
        <v>1996</v>
      </c>
      <c r="B1603" t="s">
        <v>12</v>
      </c>
      <c r="C1603">
        <v>35</v>
      </c>
    </row>
    <row r="1604" spans="1:3" x14ac:dyDescent="0.5">
      <c r="A1604">
        <v>1997</v>
      </c>
      <c r="B1604" t="s">
        <v>12</v>
      </c>
      <c r="C1604">
        <v>43</v>
      </c>
    </row>
    <row r="1605" spans="1:3" x14ac:dyDescent="0.5">
      <c r="A1605">
        <v>1998</v>
      </c>
      <c r="B1605" t="s">
        <v>12</v>
      </c>
      <c r="C1605">
        <v>43</v>
      </c>
    </row>
    <row r="1606" spans="1:3" x14ac:dyDescent="0.5">
      <c r="A1606">
        <v>1999</v>
      </c>
      <c r="B1606" t="s">
        <v>12</v>
      </c>
      <c r="C1606">
        <v>50</v>
      </c>
    </row>
    <row r="1607" spans="1:3" x14ac:dyDescent="0.5">
      <c r="A1607">
        <v>2000</v>
      </c>
      <c r="B1607" t="s">
        <v>12</v>
      </c>
      <c r="C1607">
        <v>47</v>
      </c>
    </row>
    <row r="1608" spans="1:3" x14ac:dyDescent="0.5">
      <c r="A1608">
        <v>2001</v>
      </c>
      <c r="B1608" t="s">
        <v>12</v>
      </c>
      <c r="C1608">
        <v>58</v>
      </c>
    </row>
    <row r="1609" spans="1:3" x14ac:dyDescent="0.5">
      <c r="A1609">
        <v>2002</v>
      </c>
      <c r="B1609" t="s">
        <v>12</v>
      </c>
      <c r="C1609">
        <v>49</v>
      </c>
    </row>
    <row r="1610" spans="1:3" x14ac:dyDescent="0.5">
      <c r="A1610">
        <v>2003</v>
      </c>
      <c r="B1610" t="s">
        <v>12</v>
      </c>
      <c r="C1610">
        <v>47</v>
      </c>
    </row>
    <row r="1611" spans="1:3" x14ac:dyDescent="0.5">
      <c r="A1611">
        <v>2004</v>
      </c>
      <c r="B1611" t="s">
        <v>12</v>
      </c>
      <c r="C1611">
        <v>50</v>
      </c>
    </row>
    <row r="1612" spans="1:3" x14ac:dyDescent="0.5">
      <c r="A1612">
        <v>2005</v>
      </c>
      <c r="B1612" t="s">
        <v>12</v>
      </c>
      <c r="C1612">
        <v>52</v>
      </c>
    </row>
    <row r="1613" spans="1:3" x14ac:dyDescent="0.5">
      <c r="A1613">
        <v>2006</v>
      </c>
      <c r="B1613" t="s">
        <v>12</v>
      </c>
      <c r="C1613">
        <v>54</v>
      </c>
    </row>
    <row r="1614" spans="1:3" x14ac:dyDescent="0.5">
      <c r="A1614">
        <v>2007</v>
      </c>
      <c r="B1614" t="s">
        <v>12</v>
      </c>
      <c r="C1614">
        <v>54</v>
      </c>
    </row>
    <row r="1615" spans="1:3" x14ac:dyDescent="0.5">
      <c r="A1615">
        <v>2008</v>
      </c>
      <c r="B1615" t="s">
        <v>12</v>
      </c>
      <c r="C1615">
        <v>56</v>
      </c>
    </row>
    <row r="1616" spans="1:3" x14ac:dyDescent="0.5">
      <c r="A1616">
        <v>2009</v>
      </c>
      <c r="B1616" t="s">
        <v>12</v>
      </c>
      <c r="C1616">
        <v>61</v>
      </c>
    </row>
    <row r="1617" spans="1:3" x14ac:dyDescent="0.5">
      <c r="A1617">
        <v>2010</v>
      </c>
      <c r="B1617" t="s">
        <v>12</v>
      </c>
      <c r="C1617">
        <v>66</v>
      </c>
    </row>
    <row r="1618" spans="1:3" x14ac:dyDescent="0.5">
      <c r="A1618">
        <v>2011</v>
      </c>
      <c r="B1618" t="s">
        <v>12</v>
      </c>
      <c r="C1618">
        <v>68</v>
      </c>
    </row>
    <row r="1619" spans="1:3" x14ac:dyDescent="0.5">
      <c r="A1619">
        <v>2012</v>
      </c>
      <c r="B1619" t="s">
        <v>12</v>
      </c>
      <c r="C1619">
        <v>60</v>
      </c>
    </row>
    <row r="1620" spans="1:3" x14ac:dyDescent="0.5">
      <c r="A1620">
        <v>2013</v>
      </c>
      <c r="B1620" t="s">
        <v>12</v>
      </c>
      <c r="C1620">
        <v>64</v>
      </c>
    </row>
    <row r="1621" spans="1:3" x14ac:dyDescent="0.5">
      <c r="A1621">
        <v>2014</v>
      </c>
      <c r="B1621" t="s">
        <v>12</v>
      </c>
      <c r="C1621">
        <v>76</v>
      </c>
    </row>
    <row r="1622" spans="1:3" x14ac:dyDescent="0.5">
      <c r="A1622">
        <v>1880</v>
      </c>
      <c r="B1622" t="s">
        <v>13</v>
      </c>
      <c r="C1622">
        <v>-8</v>
      </c>
    </row>
    <row r="1623" spans="1:3" x14ac:dyDescent="0.5">
      <c r="A1623">
        <v>1881</v>
      </c>
      <c r="B1623" t="s">
        <v>13</v>
      </c>
      <c r="C1623">
        <v>-3</v>
      </c>
    </row>
    <row r="1624" spans="1:3" x14ac:dyDescent="0.5">
      <c r="A1624">
        <v>1882</v>
      </c>
      <c r="B1624" t="s">
        <v>13</v>
      </c>
      <c r="C1624">
        <v>8</v>
      </c>
    </row>
    <row r="1625" spans="1:3" x14ac:dyDescent="0.5">
      <c r="A1625">
        <v>1883</v>
      </c>
      <c r="B1625" t="s">
        <v>13</v>
      </c>
      <c r="C1625">
        <v>0</v>
      </c>
    </row>
    <row r="1626" spans="1:3" x14ac:dyDescent="0.5">
      <c r="A1626">
        <v>1884</v>
      </c>
      <c r="B1626" t="s">
        <v>13</v>
      </c>
      <c r="C1626">
        <v>-5</v>
      </c>
    </row>
    <row r="1627" spans="1:3" x14ac:dyDescent="0.5">
      <c r="A1627">
        <v>1885</v>
      </c>
      <c r="B1627" t="s">
        <v>13</v>
      </c>
      <c r="C1627">
        <v>-7</v>
      </c>
    </row>
    <row r="1628" spans="1:3" x14ac:dyDescent="0.5">
      <c r="A1628">
        <v>1886</v>
      </c>
      <c r="B1628" t="s">
        <v>13</v>
      </c>
      <c r="C1628">
        <v>-21</v>
      </c>
    </row>
    <row r="1629" spans="1:3" x14ac:dyDescent="0.5">
      <c r="A1629">
        <v>1887</v>
      </c>
      <c r="B1629" t="s">
        <v>13</v>
      </c>
      <c r="C1629">
        <v>-29</v>
      </c>
    </row>
    <row r="1630" spans="1:3" x14ac:dyDescent="0.5">
      <c r="A1630">
        <v>1888</v>
      </c>
      <c r="B1630" t="s">
        <v>13</v>
      </c>
      <c r="C1630">
        <v>-38</v>
      </c>
    </row>
    <row r="1631" spans="1:3" x14ac:dyDescent="0.5">
      <c r="A1631">
        <v>1889</v>
      </c>
      <c r="B1631" t="s">
        <v>13</v>
      </c>
      <c r="C1631">
        <v>-17</v>
      </c>
    </row>
    <row r="1632" spans="1:3" x14ac:dyDescent="0.5">
      <c r="A1632">
        <v>1890</v>
      </c>
      <c r="B1632" t="s">
        <v>13</v>
      </c>
      <c r="C1632">
        <v>-40</v>
      </c>
    </row>
    <row r="1633" spans="1:3" x14ac:dyDescent="0.5">
      <c r="A1633">
        <v>1891</v>
      </c>
      <c r="B1633" t="s">
        <v>13</v>
      </c>
      <c r="C1633">
        <v>-28</v>
      </c>
    </row>
    <row r="1634" spans="1:3" x14ac:dyDescent="0.5">
      <c r="A1634">
        <v>1892</v>
      </c>
      <c r="B1634" t="s">
        <v>13</v>
      </c>
      <c r="C1634">
        <v>-34</v>
      </c>
    </row>
    <row r="1635" spans="1:3" x14ac:dyDescent="0.5">
      <c r="A1635">
        <v>1893</v>
      </c>
      <c r="B1635" t="s">
        <v>13</v>
      </c>
      <c r="C1635">
        <v>-22</v>
      </c>
    </row>
    <row r="1636" spans="1:3" x14ac:dyDescent="0.5">
      <c r="A1636">
        <v>1894</v>
      </c>
      <c r="B1636" t="s">
        <v>13</v>
      </c>
      <c r="C1636">
        <v>-32</v>
      </c>
    </row>
    <row r="1637" spans="1:3" x14ac:dyDescent="0.5">
      <c r="A1637">
        <v>1895</v>
      </c>
      <c r="B1637" t="s">
        <v>13</v>
      </c>
      <c r="C1637">
        <v>-13</v>
      </c>
    </row>
    <row r="1638" spans="1:3" x14ac:dyDescent="0.5">
      <c r="A1638">
        <v>1896</v>
      </c>
      <c r="B1638" t="s">
        <v>13</v>
      </c>
      <c r="C1638">
        <v>-22</v>
      </c>
    </row>
    <row r="1639" spans="1:3" x14ac:dyDescent="0.5">
      <c r="A1639">
        <v>1897</v>
      </c>
      <c r="B1639" t="s">
        <v>13</v>
      </c>
      <c r="C1639">
        <v>-37</v>
      </c>
    </row>
    <row r="1640" spans="1:3" x14ac:dyDescent="0.5">
      <c r="A1640">
        <v>1898</v>
      </c>
      <c r="B1640" t="s">
        <v>13</v>
      </c>
      <c r="C1640">
        <v>-30</v>
      </c>
    </row>
    <row r="1641" spans="1:3" x14ac:dyDescent="0.5">
      <c r="A1641">
        <v>1899</v>
      </c>
      <c r="B1641" t="s">
        <v>13</v>
      </c>
      <c r="C1641">
        <v>-23</v>
      </c>
    </row>
    <row r="1642" spans="1:3" x14ac:dyDescent="0.5">
      <c r="A1642">
        <v>1900</v>
      </c>
      <c r="B1642" t="s">
        <v>13</v>
      </c>
      <c r="C1642">
        <v>-38</v>
      </c>
    </row>
    <row r="1643" spans="1:3" x14ac:dyDescent="0.5">
      <c r="A1643">
        <v>1901</v>
      </c>
      <c r="B1643" t="s">
        <v>13</v>
      </c>
      <c r="C1643">
        <v>-26</v>
      </c>
    </row>
    <row r="1644" spans="1:3" x14ac:dyDescent="0.5">
      <c r="A1644">
        <v>1902</v>
      </c>
      <c r="B1644" t="s">
        <v>13</v>
      </c>
      <c r="C1644">
        <v>-42</v>
      </c>
    </row>
    <row r="1645" spans="1:3" x14ac:dyDescent="0.5">
      <c r="A1645">
        <v>1903</v>
      </c>
      <c r="B1645" t="s">
        <v>13</v>
      </c>
      <c r="C1645">
        <v>-25</v>
      </c>
    </row>
    <row r="1646" spans="1:3" x14ac:dyDescent="0.5">
      <c r="A1646">
        <v>1904</v>
      </c>
      <c r="B1646" t="s">
        <v>13</v>
      </c>
      <c r="C1646">
        <v>-38</v>
      </c>
    </row>
    <row r="1647" spans="1:3" x14ac:dyDescent="0.5">
      <c r="A1647">
        <v>1905</v>
      </c>
      <c r="B1647" t="s">
        <v>13</v>
      </c>
      <c r="C1647">
        <v>-34</v>
      </c>
    </row>
    <row r="1648" spans="1:3" x14ac:dyDescent="0.5">
      <c r="A1648">
        <v>1906</v>
      </c>
      <c r="B1648" t="s">
        <v>13</v>
      </c>
      <c r="C1648">
        <v>-22</v>
      </c>
    </row>
    <row r="1649" spans="1:3" x14ac:dyDescent="0.5">
      <c r="A1649">
        <v>1907</v>
      </c>
      <c r="B1649" t="s">
        <v>13</v>
      </c>
      <c r="C1649">
        <v>-31</v>
      </c>
    </row>
    <row r="1650" spans="1:3" x14ac:dyDescent="0.5">
      <c r="A1650">
        <v>1908</v>
      </c>
      <c r="B1650" t="s">
        <v>13</v>
      </c>
      <c r="C1650">
        <v>-38</v>
      </c>
    </row>
    <row r="1651" spans="1:3" x14ac:dyDescent="0.5">
      <c r="A1651">
        <v>1909</v>
      </c>
      <c r="B1651" t="s">
        <v>13</v>
      </c>
      <c r="C1651">
        <v>-41</v>
      </c>
    </row>
    <row r="1652" spans="1:3" x14ac:dyDescent="0.5">
      <c r="A1652">
        <v>1910</v>
      </c>
      <c r="B1652" t="s">
        <v>13</v>
      </c>
      <c r="C1652">
        <v>-32</v>
      </c>
    </row>
    <row r="1653" spans="1:3" x14ac:dyDescent="0.5">
      <c r="A1653">
        <v>1911</v>
      </c>
      <c r="B1653" t="s">
        <v>13</v>
      </c>
      <c r="C1653">
        <v>-53</v>
      </c>
    </row>
    <row r="1654" spans="1:3" x14ac:dyDescent="0.5">
      <c r="A1654">
        <v>1912</v>
      </c>
      <c r="B1654" t="s">
        <v>13</v>
      </c>
      <c r="C1654">
        <v>-13</v>
      </c>
    </row>
    <row r="1655" spans="1:3" x14ac:dyDescent="0.5">
      <c r="A1655">
        <v>1913</v>
      </c>
      <c r="B1655" t="s">
        <v>13</v>
      </c>
      <c r="C1655">
        <v>-31</v>
      </c>
    </row>
    <row r="1656" spans="1:3" x14ac:dyDescent="0.5">
      <c r="A1656">
        <v>1914</v>
      </c>
      <c r="B1656" t="s">
        <v>13</v>
      </c>
      <c r="C1656">
        <v>-23</v>
      </c>
    </row>
    <row r="1657" spans="1:3" x14ac:dyDescent="0.5">
      <c r="A1657">
        <v>1915</v>
      </c>
      <c r="B1657" t="s">
        <v>13</v>
      </c>
      <c r="C1657">
        <v>-23</v>
      </c>
    </row>
    <row r="1658" spans="1:3" x14ac:dyDescent="0.5">
      <c r="A1658">
        <v>1916</v>
      </c>
      <c r="B1658" t="s">
        <v>13</v>
      </c>
      <c r="C1658">
        <v>-17</v>
      </c>
    </row>
    <row r="1659" spans="1:3" x14ac:dyDescent="0.5">
      <c r="A1659">
        <v>1917</v>
      </c>
      <c r="B1659" t="s">
        <v>13</v>
      </c>
      <c r="C1659">
        <v>4</v>
      </c>
    </row>
    <row r="1660" spans="1:3" x14ac:dyDescent="0.5">
      <c r="A1660">
        <v>1918</v>
      </c>
      <c r="B1660" t="s">
        <v>13</v>
      </c>
      <c r="C1660">
        <v>-23</v>
      </c>
    </row>
    <row r="1661" spans="1:3" x14ac:dyDescent="0.5">
      <c r="A1661">
        <v>1919</v>
      </c>
      <c r="B1661" t="s">
        <v>13</v>
      </c>
      <c r="C1661">
        <v>-22</v>
      </c>
    </row>
    <row r="1662" spans="1:3" x14ac:dyDescent="0.5">
      <c r="A1662">
        <v>1920</v>
      </c>
      <c r="B1662" t="s">
        <v>13</v>
      </c>
      <c r="C1662">
        <v>-44</v>
      </c>
    </row>
    <row r="1663" spans="1:3" x14ac:dyDescent="0.5">
      <c r="A1663">
        <v>1921</v>
      </c>
      <c r="B1663" t="s">
        <v>13</v>
      </c>
      <c r="C1663">
        <v>-49</v>
      </c>
    </row>
    <row r="1664" spans="1:3" x14ac:dyDescent="0.5">
      <c r="A1664">
        <v>1922</v>
      </c>
      <c r="B1664" t="s">
        <v>13</v>
      </c>
      <c r="C1664">
        <v>-27</v>
      </c>
    </row>
    <row r="1665" spans="1:3" x14ac:dyDescent="0.5">
      <c r="A1665">
        <v>1923</v>
      </c>
      <c r="B1665" t="s">
        <v>13</v>
      </c>
      <c r="C1665">
        <v>-28</v>
      </c>
    </row>
    <row r="1666" spans="1:3" x14ac:dyDescent="0.5">
      <c r="A1666">
        <v>1924</v>
      </c>
      <c r="B1666" t="s">
        <v>13</v>
      </c>
      <c r="C1666">
        <v>-60</v>
      </c>
    </row>
    <row r="1667" spans="1:3" x14ac:dyDescent="0.5">
      <c r="A1667">
        <v>1925</v>
      </c>
      <c r="B1667" t="s">
        <v>13</v>
      </c>
      <c r="C1667">
        <v>-55</v>
      </c>
    </row>
    <row r="1668" spans="1:3" x14ac:dyDescent="0.5">
      <c r="A1668">
        <v>1926</v>
      </c>
      <c r="B1668" t="s">
        <v>13</v>
      </c>
      <c r="C1668">
        <v>-46</v>
      </c>
    </row>
    <row r="1669" spans="1:3" x14ac:dyDescent="0.5">
      <c r="A1669">
        <v>1927</v>
      </c>
      <c r="B1669" t="s">
        <v>13</v>
      </c>
      <c r="C1669">
        <v>-41</v>
      </c>
    </row>
    <row r="1670" spans="1:3" x14ac:dyDescent="0.5">
      <c r="A1670">
        <v>1928</v>
      </c>
      <c r="B1670" t="s">
        <v>13</v>
      </c>
      <c r="C1670">
        <v>-62</v>
      </c>
    </row>
    <row r="1671" spans="1:3" x14ac:dyDescent="0.5">
      <c r="A1671">
        <v>1929</v>
      </c>
      <c r="B1671" t="s">
        <v>13</v>
      </c>
      <c r="C1671">
        <v>-57</v>
      </c>
    </row>
    <row r="1672" spans="1:3" x14ac:dyDescent="0.5">
      <c r="A1672">
        <v>1930</v>
      </c>
      <c r="B1672" t="s">
        <v>13</v>
      </c>
      <c r="C1672">
        <v>-42</v>
      </c>
    </row>
    <row r="1673" spans="1:3" x14ac:dyDescent="0.5">
      <c r="A1673">
        <v>1931</v>
      </c>
      <c r="B1673" t="s">
        <v>13</v>
      </c>
      <c r="C1673">
        <v>-31</v>
      </c>
    </row>
    <row r="1674" spans="1:3" x14ac:dyDescent="0.5">
      <c r="A1674">
        <v>1932</v>
      </c>
      <c r="B1674" t="s">
        <v>13</v>
      </c>
      <c r="C1674">
        <v>-57</v>
      </c>
    </row>
    <row r="1675" spans="1:3" x14ac:dyDescent="0.5">
      <c r="A1675">
        <v>1933</v>
      </c>
      <c r="B1675" t="s">
        <v>13</v>
      </c>
      <c r="C1675">
        <v>-46</v>
      </c>
    </row>
    <row r="1676" spans="1:3" x14ac:dyDescent="0.5">
      <c r="A1676">
        <v>1934</v>
      </c>
      <c r="B1676" t="s">
        <v>13</v>
      </c>
      <c r="C1676">
        <v>-34</v>
      </c>
    </row>
    <row r="1677" spans="1:3" x14ac:dyDescent="0.5">
      <c r="A1677">
        <v>1935</v>
      </c>
      <c r="B1677" t="s">
        <v>13</v>
      </c>
      <c r="C1677">
        <v>-34</v>
      </c>
    </row>
    <row r="1678" spans="1:3" x14ac:dyDescent="0.5">
      <c r="A1678">
        <v>1936</v>
      </c>
      <c r="B1678" t="s">
        <v>13</v>
      </c>
      <c r="C1678">
        <v>-28</v>
      </c>
    </row>
    <row r="1679" spans="1:3" x14ac:dyDescent="0.5">
      <c r="A1679">
        <v>1937</v>
      </c>
      <c r="B1679" t="s">
        <v>13</v>
      </c>
      <c r="C1679">
        <v>-14</v>
      </c>
    </row>
    <row r="1680" spans="1:3" x14ac:dyDescent="0.5">
      <c r="A1680">
        <v>1938</v>
      </c>
      <c r="B1680" t="s">
        <v>13</v>
      </c>
      <c r="C1680">
        <v>-8</v>
      </c>
    </row>
    <row r="1681" spans="1:3" x14ac:dyDescent="0.5">
      <c r="A1681">
        <v>1939</v>
      </c>
      <c r="B1681" t="s">
        <v>13</v>
      </c>
      <c r="C1681">
        <v>-10</v>
      </c>
    </row>
    <row r="1682" spans="1:3" x14ac:dyDescent="0.5">
      <c r="A1682">
        <v>1940</v>
      </c>
      <c r="B1682" t="s">
        <v>13</v>
      </c>
      <c r="C1682">
        <v>-21</v>
      </c>
    </row>
    <row r="1683" spans="1:3" x14ac:dyDescent="0.5">
      <c r="A1683">
        <v>1941</v>
      </c>
      <c r="B1683" t="s">
        <v>13</v>
      </c>
      <c r="C1683">
        <v>-18</v>
      </c>
    </row>
    <row r="1684" spans="1:3" x14ac:dyDescent="0.5">
      <c r="A1684">
        <v>1942</v>
      </c>
      <c r="B1684" t="s">
        <v>13</v>
      </c>
      <c r="C1684">
        <v>-5</v>
      </c>
    </row>
    <row r="1685" spans="1:3" x14ac:dyDescent="0.5">
      <c r="A1685">
        <v>1943</v>
      </c>
      <c r="B1685" t="s">
        <v>13</v>
      </c>
      <c r="C1685">
        <v>1</v>
      </c>
    </row>
    <row r="1686" spans="1:3" x14ac:dyDescent="0.5">
      <c r="A1686">
        <v>1944</v>
      </c>
      <c r="B1686" t="s">
        <v>13</v>
      </c>
      <c r="C1686">
        <v>-1</v>
      </c>
    </row>
    <row r="1687" spans="1:3" x14ac:dyDescent="0.5">
      <c r="A1687">
        <v>1945</v>
      </c>
      <c r="B1687" t="s">
        <v>13</v>
      </c>
      <c r="C1687">
        <v>-4</v>
      </c>
    </row>
    <row r="1688" spans="1:3" x14ac:dyDescent="0.5">
      <c r="A1688">
        <v>1946</v>
      </c>
      <c r="B1688" t="s">
        <v>13</v>
      </c>
      <c r="C1688">
        <v>-16</v>
      </c>
    </row>
    <row r="1689" spans="1:3" x14ac:dyDescent="0.5">
      <c r="A1689">
        <v>1947</v>
      </c>
      <c r="B1689" t="s">
        <v>13</v>
      </c>
      <c r="C1689">
        <v>-11</v>
      </c>
    </row>
    <row r="1690" spans="1:3" x14ac:dyDescent="0.5">
      <c r="A1690">
        <v>1948</v>
      </c>
      <c r="B1690" t="s">
        <v>13</v>
      </c>
      <c r="C1690">
        <v>-16</v>
      </c>
    </row>
    <row r="1691" spans="1:3" x14ac:dyDescent="0.5">
      <c r="A1691">
        <v>1949</v>
      </c>
      <c r="B1691" t="s">
        <v>13</v>
      </c>
      <c r="C1691">
        <v>-13</v>
      </c>
    </row>
    <row r="1692" spans="1:3" x14ac:dyDescent="0.5">
      <c r="A1692">
        <v>1950</v>
      </c>
      <c r="B1692" t="s">
        <v>13</v>
      </c>
      <c r="C1692">
        <v>-21</v>
      </c>
    </row>
    <row r="1693" spans="1:3" x14ac:dyDescent="0.5">
      <c r="A1693">
        <v>1951</v>
      </c>
      <c r="B1693" t="s">
        <v>13</v>
      </c>
      <c r="C1693">
        <v>-21</v>
      </c>
    </row>
    <row r="1694" spans="1:3" x14ac:dyDescent="0.5">
      <c r="A1694">
        <v>1952</v>
      </c>
      <c r="B1694" t="s">
        <v>13</v>
      </c>
      <c r="C1694">
        <v>0</v>
      </c>
    </row>
    <row r="1695" spans="1:3" x14ac:dyDescent="0.5">
      <c r="A1695">
        <v>1953</v>
      </c>
      <c r="B1695" t="s">
        <v>13</v>
      </c>
      <c r="C1695">
        <v>-12</v>
      </c>
    </row>
    <row r="1696" spans="1:3" x14ac:dyDescent="0.5">
      <c r="A1696">
        <v>1954</v>
      </c>
      <c r="B1696" t="s">
        <v>13</v>
      </c>
      <c r="C1696">
        <v>-4</v>
      </c>
    </row>
    <row r="1697" spans="1:3" x14ac:dyDescent="0.5">
      <c r="A1697">
        <v>1955</v>
      </c>
      <c r="B1697" t="s">
        <v>13</v>
      </c>
      <c r="C1697">
        <v>-19</v>
      </c>
    </row>
    <row r="1698" spans="1:3" x14ac:dyDescent="0.5">
      <c r="A1698">
        <v>1956</v>
      </c>
      <c r="B1698" t="s">
        <v>13</v>
      </c>
      <c r="C1698">
        <v>0</v>
      </c>
    </row>
    <row r="1699" spans="1:3" x14ac:dyDescent="0.5">
      <c r="A1699">
        <v>1957</v>
      </c>
      <c r="B1699" t="s">
        <v>13</v>
      </c>
      <c r="C1699">
        <v>-9</v>
      </c>
    </row>
    <row r="1700" spans="1:3" x14ac:dyDescent="0.5">
      <c r="A1700">
        <v>1958</v>
      </c>
      <c r="B1700" t="s">
        <v>13</v>
      </c>
      <c r="C1700">
        <v>-7</v>
      </c>
    </row>
    <row r="1701" spans="1:3" x14ac:dyDescent="0.5">
      <c r="A1701">
        <v>1959</v>
      </c>
      <c r="B1701" t="s">
        <v>13</v>
      </c>
      <c r="C1701">
        <v>-15</v>
      </c>
    </row>
    <row r="1702" spans="1:3" x14ac:dyDescent="0.5">
      <c r="A1702">
        <v>1960</v>
      </c>
      <c r="B1702" t="s">
        <v>13</v>
      </c>
      <c r="C1702">
        <v>-4</v>
      </c>
    </row>
    <row r="1703" spans="1:3" x14ac:dyDescent="0.5">
      <c r="A1703">
        <v>1961</v>
      </c>
      <c r="B1703" t="s">
        <v>13</v>
      </c>
      <c r="C1703">
        <v>-11</v>
      </c>
    </row>
    <row r="1704" spans="1:3" x14ac:dyDescent="0.5">
      <c r="A1704">
        <v>1962</v>
      </c>
      <c r="B1704" t="s">
        <v>13</v>
      </c>
      <c r="C1704">
        <v>-9</v>
      </c>
    </row>
    <row r="1705" spans="1:3" x14ac:dyDescent="0.5">
      <c r="A1705">
        <v>1963</v>
      </c>
      <c r="B1705" t="s">
        <v>13</v>
      </c>
      <c r="C1705">
        <v>-20</v>
      </c>
    </row>
    <row r="1706" spans="1:3" x14ac:dyDescent="0.5">
      <c r="A1706">
        <v>1964</v>
      </c>
      <c r="B1706" t="s">
        <v>13</v>
      </c>
      <c r="C1706">
        <v>-9</v>
      </c>
    </row>
    <row r="1707" spans="1:3" x14ac:dyDescent="0.5">
      <c r="A1707">
        <v>1965</v>
      </c>
      <c r="B1707" t="s">
        <v>13</v>
      </c>
      <c r="C1707">
        <v>0</v>
      </c>
    </row>
    <row r="1708" spans="1:3" x14ac:dyDescent="0.5">
      <c r="A1708">
        <v>1966</v>
      </c>
      <c r="B1708" t="s">
        <v>13</v>
      </c>
      <c r="C1708">
        <v>-17</v>
      </c>
    </row>
    <row r="1709" spans="1:3" x14ac:dyDescent="0.5">
      <c r="A1709">
        <v>1967</v>
      </c>
      <c r="B1709" t="s">
        <v>13</v>
      </c>
      <c r="C1709">
        <v>-7</v>
      </c>
    </row>
    <row r="1710" spans="1:3" x14ac:dyDescent="0.5">
      <c r="A1710">
        <v>1968</v>
      </c>
      <c r="B1710" t="s">
        <v>13</v>
      </c>
      <c r="C1710">
        <v>2</v>
      </c>
    </row>
    <row r="1711" spans="1:3" x14ac:dyDescent="0.5">
      <c r="A1711">
        <v>1969</v>
      </c>
      <c r="B1711" t="s">
        <v>13</v>
      </c>
      <c r="C1711">
        <v>13</v>
      </c>
    </row>
    <row r="1712" spans="1:3" x14ac:dyDescent="0.5">
      <c r="A1712">
        <v>1970</v>
      </c>
      <c r="B1712" t="s">
        <v>13</v>
      </c>
      <c r="C1712">
        <v>0</v>
      </c>
    </row>
    <row r="1713" spans="1:3" x14ac:dyDescent="0.5">
      <c r="A1713">
        <v>1971</v>
      </c>
      <c r="B1713" t="s">
        <v>13</v>
      </c>
      <c r="C1713">
        <v>11</v>
      </c>
    </row>
    <row r="1714" spans="1:3" x14ac:dyDescent="0.5">
      <c r="A1714">
        <v>1972</v>
      </c>
      <c r="B1714" t="s">
        <v>13</v>
      </c>
      <c r="C1714">
        <v>2</v>
      </c>
    </row>
    <row r="1715" spans="1:3" x14ac:dyDescent="0.5">
      <c r="A1715">
        <v>1973</v>
      </c>
      <c r="B1715" t="s">
        <v>13</v>
      </c>
      <c r="C1715">
        <v>-1</v>
      </c>
    </row>
    <row r="1716" spans="1:3" x14ac:dyDescent="0.5">
      <c r="A1716">
        <v>1974</v>
      </c>
      <c r="B1716" t="s">
        <v>13</v>
      </c>
      <c r="C1716">
        <v>-6</v>
      </c>
    </row>
    <row r="1717" spans="1:3" x14ac:dyDescent="0.5">
      <c r="A1717">
        <v>1975</v>
      </c>
      <c r="B1717" t="s">
        <v>13</v>
      </c>
      <c r="C1717">
        <v>4</v>
      </c>
    </row>
    <row r="1718" spans="1:3" x14ac:dyDescent="0.5">
      <c r="A1718">
        <v>1976</v>
      </c>
      <c r="B1718" t="s">
        <v>13</v>
      </c>
      <c r="C1718">
        <v>10</v>
      </c>
    </row>
    <row r="1719" spans="1:3" x14ac:dyDescent="0.5">
      <c r="A1719">
        <v>1977</v>
      </c>
      <c r="B1719" t="s">
        <v>13</v>
      </c>
      <c r="C1719">
        <v>37</v>
      </c>
    </row>
    <row r="1720" spans="1:3" x14ac:dyDescent="0.5">
      <c r="A1720">
        <v>1978</v>
      </c>
      <c r="B1720" t="s">
        <v>13</v>
      </c>
      <c r="C1720">
        <v>16</v>
      </c>
    </row>
    <row r="1721" spans="1:3" x14ac:dyDescent="0.5">
      <c r="A1721">
        <v>1979</v>
      </c>
      <c r="B1721" t="s">
        <v>13</v>
      </c>
      <c r="C1721">
        <v>38</v>
      </c>
    </row>
    <row r="1722" spans="1:3" x14ac:dyDescent="0.5">
      <c r="A1722">
        <v>1980</v>
      </c>
      <c r="B1722" t="s">
        <v>13</v>
      </c>
      <c r="C1722">
        <v>37</v>
      </c>
    </row>
    <row r="1723" spans="1:3" x14ac:dyDescent="0.5">
      <c r="A1723">
        <v>1981</v>
      </c>
      <c r="B1723" t="s">
        <v>13</v>
      </c>
      <c r="C1723">
        <v>37</v>
      </c>
    </row>
    <row r="1724" spans="1:3" x14ac:dyDescent="0.5">
      <c r="A1724">
        <v>1982</v>
      </c>
      <c r="B1724" t="s">
        <v>13</v>
      </c>
      <c r="C1724">
        <v>30</v>
      </c>
    </row>
    <row r="1725" spans="1:3" x14ac:dyDescent="0.5">
      <c r="A1725">
        <v>1983</v>
      </c>
      <c r="B1725" t="s">
        <v>13</v>
      </c>
      <c r="C1725">
        <v>29</v>
      </c>
    </row>
    <row r="1726" spans="1:3" x14ac:dyDescent="0.5">
      <c r="A1726">
        <v>1984</v>
      </c>
      <c r="B1726" t="s">
        <v>13</v>
      </c>
      <c r="C1726">
        <v>24</v>
      </c>
    </row>
    <row r="1727" spans="1:3" x14ac:dyDescent="0.5">
      <c r="A1727">
        <v>1985</v>
      </c>
      <c r="B1727" t="s">
        <v>13</v>
      </c>
      <c r="C1727">
        <v>38</v>
      </c>
    </row>
    <row r="1728" spans="1:3" x14ac:dyDescent="0.5">
      <c r="A1728">
        <v>1986</v>
      </c>
      <c r="B1728" t="s">
        <v>13</v>
      </c>
      <c r="C1728">
        <v>26</v>
      </c>
    </row>
    <row r="1729" spans="1:3" x14ac:dyDescent="0.5">
      <c r="A1729">
        <v>1987</v>
      </c>
      <c r="B1729" t="s">
        <v>13</v>
      </c>
      <c r="C1729">
        <v>21</v>
      </c>
    </row>
    <row r="1730" spans="1:3" x14ac:dyDescent="0.5">
      <c r="A1730">
        <v>1988</v>
      </c>
      <c r="B1730" t="s">
        <v>13</v>
      </c>
      <c r="C1730">
        <v>18</v>
      </c>
    </row>
    <row r="1731" spans="1:3" x14ac:dyDescent="0.5">
      <c r="A1731">
        <v>1989</v>
      </c>
      <c r="B1731" t="s">
        <v>13</v>
      </c>
      <c r="C1731">
        <v>25</v>
      </c>
    </row>
    <row r="1732" spans="1:3" x14ac:dyDescent="0.5">
      <c r="A1732">
        <v>1990</v>
      </c>
      <c r="B1732" t="s">
        <v>13</v>
      </c>
      <c r="C1732">
        <v>32</v>
      </c>
    </row>
    <row r="1733" spans="1:3" x14ac:dyDescent="0.5">
      <c r="A1733">
        <v>1991</v>
      </c>
      <c r="B1733" t="s">
        <v>13</v>
      </c>
      <c r="C1733">
        <v>34</v>
      </c>
    </row>
    <row r="1734" spans="1:3" x14ac:dyDescent="0.5">
      <c r="A1734">
        <v>1992</v>
      </c>
      <c r="B1734" t="s">
        <v>13</v>
      </c>
      <c r="C1734">
        <v>33</v>
      </c>
    </row>
    <row r="1735" spans="1:3" x14ac:dyDescent="0.5">
      <c r="A1735">
        <v>1993</v>
      </c>
      <c r="B1735" t="s">
        <v>13</v>
      </c>
      <c r="C1735">
        <v>35</v>
      </c>
    </row>
    <row r="1736" spans="1:3" x14ac:dyDescent="0.5">
      <c r="A1736">
        <v>1994</v>
      </c>
      <c r="B1736" t="s">
        <v>13</v>
      </c>
      <c r="C1736">
        <v>25</v>
      </c>
    </row>
    <row r="1737" spans="1:3" x14ac:dyDescent="0.5">
      <c r="A1737">
        <v>1995</v>
      </c>
      <c r="B1737" t="s">
        <v>13</v>
      </c>
      <c r="C1737">
        <v>16</v>
      </c>
    </row>
    <row r="1738" spans="1:3" x14ac:dyDescent="0.5">
      <c r="A1738">
        <v>1996</v>
      </c>
      <c r="B1738" t="s">
        <v>13</v>
      </c>
      <c r="C1738">
        <v>31</v>
      </c>
    </row>
    <row r="1739" spans="1:3" x14ac:dyDescent="0.5">
      <c r="A1739">
        <v>1997</v>
      </c>
      <c r="B1739" t="s">
        <v>13</v>
      </c>
      <c r="C1739">
        <v>38</v>
      </c>
    </row>
    <row r="1740" spans="1:3" x14ac:dyDescent="0.5">
      <c r="A1740">
        <v>1998</v>
      </c>
      <c r="B1740" t="s">
        <v>13</v>
      </c>
      <c r="C1740">
        <v>32</v>
      </c>
    </row>
    <row r="1741" spans="1:3" x14ac:dyDescent="0.5">
      <c r="A1741">
        <v>1999</v>
      </c>
      <c r="B1741" t="s">
        <v>13</v>
      </c>
      <c r="C1741">
        <v>16</v>
      </c>
    </row>
    <row r="1742" spans="1:3" x14ac:dyDescent="0.5">
      <c r="A1742">
        <v>2000</v>
      </c>
      <c r="B1742" t="s">
        <v>13</v>
      </c>
      <c r="C1742">
        <v>10</v>
      </c>
    </row>
    <row r="1743" spans="1:3" x14ac:dyDescent="0.5">
      <c r="A1743">
        <v>2001</v>
      </c>
      <c r="B1743" t="s">
        <v>13</v>
      </c>
      <c r="C1743">
        <v>20</v>
      </c>
    </row>
    <row r="1744" spans="1:3" x14ac:dyDescent="0.5">
      <c r="A1744">
        <v>2002</v>
      </c>
      <c r="B1744" t="s">
        <v>13</v>
      </c>
      <c r="C1744">
        <v>29</v>
      </c>
    </row>
    <row r="1745" spans="1:3" x14ac:dyDescent="0.5">
      <c r="A1745">
        <v>2003</v>
      </c>
      <c r="B1745" t="s">
        <v>13</v>
      </c>
      <c r="C1745">
        <v>23</v>
      </c>
    </row>
    <row r="1746" spans="1:3" x14ac:dyDescent="0.5">
      <c r="A1746">
        <v>2004</v>
      </c>
      <c r="B1746" t="s">
        <v>13</v>
      </c>
      <c r="C1746">
        <v>21</v>
      </c>
    </row>
    <row r="1747" spans="1:3" x14ac:dyDescent="0.5">
      <c r="A1747">
        <v>2005</v>
      </c>
      <c r="B1747" t="s">
        <v>13</v>
      </c>
      <c r="C1747">
        <v>20</v>
      </c>
    </row>
    <row r="1748" spans="1:3" x14ac:dyDescent="0.5">
      <c r="A1748">
        <v>2006</v>
      </c>
      <c r="B1748" t="s">
        <v>13</v>
      </c>
      <c r="C1748">
        <v>19</v>
      </c>
    </row>
    <row r="1749" spans="1:3" x14ac:dyDescent="0.5">
      <c r="A1749">
        <v>2007</v>
      </c>
      <c r="B1749" t="s">
        <v>13</v>
      </c>
      <c r="C1749">
        <v>6</v>
      </c>
    </row>
    <row r="1750" spans="1:3" x14ac:dyDescent="0.5">
      <c r="A1750">
        <v>2008</v>
      </c>
      <c r="B1750" t="s">
        <v>13</v>
      </c>
      <c r="C1750">
        <v>10</v>
      </c>
    </row>
    <row r="1751" spans="1:3" x14ac:dyDescent="0.5">
      <c r="A1751">
        <v>2009</v>
      </c>
      <c r="B1751" t="s">
        <v>13</v>
      </c>
      <c r="C1751">
        <v>18</v>
      </c>
    </row>
    <row r="1752" spans="1:3" x14ac:dyDescent="0.5">
      <c r="A1752">
        <v>2010</v>
      </c>
      <c r="B1752" t="s">
        <v>13</v>
      </c>
      <c r="C1752">
        <v>23</v>
      </c>
    </row>
    <row r="1753" spans="1:3" x14ac:dyDescent="0.5">
      <c r="A1753">
        <v>2011</v>
      </c>
      <c r="B1753" t="s">
        <v>13</v>
      </c>
      <c r="C1753">
        <v>26</v>
      </c>
    </row>
    <row r="1754" spans="1:3" x14ac:dyDescent="0.5">
      <c r="A1754">
        <v>2012</v>
      </c>
      <c r="B1754" t="s">
        <v>13</v>
      </c>
      <c r="C1754">
        <v>25</v>
      </c>
    </row>
    <row r="1755" spans="1:3" x14ac:dyDescent="0.5">
      <c r="A1755">
        <v>2013</v>
      </c>
      <c r="B1755" t="s">
        <v>13</v>
      </c>
      <c r="C1755">
        <v>30</v>
      </c>
    </row>
    <row r="1756" spans="1:3" x14ac:dyDescent="0.5">
      <c r="A1756">
        <v>2014</v>
      </c>
      <c r="B1756" t="s">
        <v>13</v>
      </c>
      <c r="C1756">
        <v>23</v>
      </c>
    </row>
    <row r="1757" spans="1:3" x14ac:dyDescent="0.5">
      <c r="A1757">
        <v>1880</v>
      </c>
      <c r="B1757" t="s">
        <v>14</v>
      </c>
      <c r="C1757">
        <v>39</v>
      </c>
    </row>
    <row r="1758" spans="1:3" x14ac:dyDescent="0.5">
      <c r="A1758">
        <v>1881</v>
      </c>
      <c r="B1758" t="s">
        <v>14</v>
      </c>
      <c r="C1758">
        <v>37</v>
      </c>
    </row>
    <row r="1759" spans="1:3" x14ac:dyDescent="0.5">
      <c r="A1759">
        <v>1882</v>
      </c>
      <c r="B1759" t="s">
        <v>14</v>
      </c>
      <c r="C1759">
        <v>42</v>
      </c>
    </row>
    <row r="1760" spans="1:3" x14ac:dyDescent="0.5">
      <c r="A1760">
        <v>1883</v>
      </c>
      <c r="B1760" t="s">
        <v>14</v>
      </c>
      <c r="C1760">
        <v>37</v>
      </c>
    </row>
    <row r="1761" spans="1:3" x14ac:dyDescent="0.5">
      <c r="A1761">
        <v>1884</v>
      </c>
      <c r="B1761" t="s">
        <v>14</v>
      </c>
      <c r="C1761">
        <v>40</v>
      </c>
    </row>
    <row r="1762" spans="1:3" x14ac:dyDescent="0.5">
      <c r="A1762">
        <v>1885</v>
      </c>
      <c r="B1762" t="s">
        <v>14</v>
      </c>
      <c r="C1762">
        <v>38</v>
      </c>
    </row>
    <row r="1763" spans="1:3" x14ac:dyDescent="0.5">
      <c r="A1763">
        <v>1886</v>
      </c>
      <c r="B1763" t="s">
        <v>14</v>
      </c>
      <c r="C1763">
        <v>28</v>
      </c>
    </row>
    <row r="1764" spans="1:3" x14ac:dyDescent="0.5">
      <c r="A1764">
        <v>1887</v>
      </c>
      <c r="B1764" t="s">
        <v>14</v>
      </c>
      <c r="C1764">
        <v>21</v>
      </c>
    </row>
    <row r="1765" spans="1:3" x14ac:dyDescent="0.5">
      <c r="A1765">
        <v>1888</v>
      </c>
      <c r="B1765" t="s">
        <v>14</v>
      </c>
      <c r="C1765">
        <v>16</v>
      </c>
    </row>
    <row r="1766" spans="1:3" x14ac:dyDescent="0.5">
      <c r="A1766">
        <v>1889</v>
      </c>
      <c r="B1766" t="s">
        <v>14</v>
      </c>
      <c r="C1766">
        <v>19</v>
      </c>
    </row>
    <row r="1767" spans="1:3" x14ac:dyDescent="0.5">
      <c r="A1767">
        <v>1890</v>
      </c>
      <c r="B1767" t="s">
        <v>14</v>
      </c>
      <c r="C1767">
        <v>4</v>
      </c>
    </row>
    <row r="1768" spans="1:3" x14ac:dyDescent="0.5">
      <c r="A1768">
        <v>1891</v>
      </c>
      <c r="B1768" t="s">
        <v>14</v>
      </c>
      <c r="C1768">
        <v>9</v>
      </c>
    </row>
    <row r="1769" spans="1:3" x14ac:dyDescent="0.5">
      <c r="A1769">
        <v>1892</v>
      </c>
      <c r="B1769" t="s">
        <v>14</v>
      </c>
      <c r="C1769">
        <v>5</v>
      </c>
    </row>
    <row r="1770" spans="1:3" x14ac:dyDescent="0.5">
      <c r="A1770">
        <v>1893</v>
      </c>
      <c r="B1770" t="s">
        <v>14</v>
      </c>
      <c r="C1770">
        <v>2</v>
      </c>
    </row>
    <row r="1771" spans="1:3" x14ac:dyDescent="0.5">
      <c r="A1771">
        <v>1894</v>
      </c>
      <c r="B1771" t="s">
        <v>14</v>
      </c>
      <c r="C1771">
        <v>-12</v>
      </c>
    </row>
    <row r="1772" spans="1:3" x14ac:dyDescent="0.5">
      <c r="A1772">
        <v>1895</v>
      </c>
      <c r="B1772" t="s">
        <v>14</v>
      </c>
      <c r="C1772">
        <v>-1</v>
      </c>
    </row>
    <row r="1773" spans="1:3" x14ac:dyDescent="0.5">
      <c r="A1773">
        <v>1896</v>
      </c>
      <c r="B1773" t="s">
        <v>14</v>
      </c>
      <c r="C1773">
        <v>3</v>
      </c>
    </row>
    <row r="1774" spans="1:3" x14ac:dyDescent="0.5">
      <c r="A1774">
        <v>1897</v>
      </c>
      <c r="B1774" t="s">
        <v>14</v>
      </c>
      <c r="C1774">
        <v>5</v>
      </c>
    </row>
    <row r="1775" spans="1:3" x14ac:dyDescent="0.5">
      <c r="A1775">
        <v>1898</v>
      </c>
      <c r="B1775" t="s">
        <v>14</v>
      </c>
      <c r="C1775">
        <v>8</v>
      </c>
    </row>
    <row r="1776" spans="1:3" x14ac:dyDescent="0.5">
      <c r="A1776">
        <v>1899</v>
      </c>
      <c r="B1776" t="s">
        <v>14</v>
      </c>
      <c r="C1776">
        <v>13</v>
      </c>
    </row>
    <row r="1777" spans="1:3" x14ac:dyDescent="0.5">
      <c r="A1777">
        <v>1900</v>
      </c>
      <c r="B1777" t="s">
        <v>14</v>
      </c>
      <c r="C1777">
        <v>12</v>
      </c>
    </row>
    <row r="1778" spans="1:3" x14ac:dyDescent="0.5">
      <c r="A1778">
        <v>1901</v>
      </c>
      <c r="B1778" t="s">
        <v>14</v>
      </c>
      <c r="C1778">
        <v>1</v>
      </c>
    </row>
    <row r="1779" spans="1:3" x14ac:dyDescent="0.5">
      <c r="A1779">
        <v>1902</v>
      </c>
      <c r="B1779" t="s">
        <v>14</v>
      </c>
      <c r="C1779">
        <v>6</v>
      </c>
    </row>
    <row r="1780" spans="1:3" x14ac:dyDescent="0.5">
      <c r="A1780">
        <v>1903</v>
      </c>
      <c r="B1780" t="s">
        <v>14</v>
      </c>
      <c r="C1780">
        <v>-43</v>
      </c>
    </row>
    <row r="1781" spans="1:3" x14ac:dyDescent="0.5">
      <c r="A1781">
        <v>1904</v>
      </c>
      <c r="B1781" t="s">
        <v>14</v>
      </c>
      <c r="C1781">
        <v>-108</v>
      </c>
    </row>
    <row r="1782" spans="1:3" x14ac:dyDescent="0.5">
      <c r="A1782">
        <v>1905</v>
      </c>
      <c r="B1782" t="s">
        <v>14</v>
      </c>
      <c r="C1782">
        <v>-20</v>
      </c>
    </row>
    <row r="1783" spans="1:3" x14ac:dyDescent="0.5">
      <c r="A1783">
        <v>1906</v>
      </c>
      <c r="B1783" t="s">
        <v>14</v>
      </c>
      <c r="C1783">
        <v>-49</v>
      </c>
    </row>
    <row r="1784" spans="1:3" x14ac:dyDescent="0.5">
      <c r="A1784">
        <v>1907</v>
      </c>
      <c r="B1784" t="s">
        <v>14</v>
      </c>
      <c r="C1784">
        <v>-101</v>
      </c>
    </row>
    <row r="1785" spans="1:3" x14ac:dyDescent="0.5">
      <c r="A1785">
        <v>1908</v>
      </c>
      <c r="B1785" t="s">
        <v>14</v>
      </c>
      <c r="C1785">
        <v>82</v>
      </c>
    </row>
    <row r="1786" spans="1:3" x14ac:dyDescent="0.5">
      <c r="A1786">
        <v>1909</v>
      </c>
      <c r="B1786" t="s">
        <v>14</v>
      </c>
      <c r="C1786">
        <v>-32</v>
      </c>
    </row>
    <row r="1787" spans="1:3" x14ac:dyDescent="0.5">
      <c r="A1787">
        <v>1910</v>
      </c>
      <c r="B1787" t="s">
        <v>14</v>
      </c>
      <c r="C1787">
        <v>43</v>
      </c>
    </row>
    <row r="1788" spans="1:3" x14ac:dyDescent="0.5">
      <c r="A1788">
        <v>1911</v>
      </c>
      <c r="B1788" t="s">
        <v>14</v>
      </c>
      <c r="C1788">
        <v>31</v>
      </c>
    </row>
    <row r="1789" spans="1:3" x14ac:dyDescent="0.5">
      <c r="A1789">
        <v>1912</v>
      </c>
      <c r="B1789" t="s">
        <v>14</v>
      </c>
      <c r="C1789">
        <v>-137</v>
      </c>
    </row>
    <row r="1790" spans="1:3" x14ac:dyDescent="0.5">
      <c r="A1790">
        <v>1913</v>
      </c>
      <c r="B1790" t="s">
        <v>14</v>
      </c>
      <c r="C1790">
        <v>-75</v>
      </c>
    </row>
    <row r="1791" spans="1:3" x14ac:dyDescent="0.5">
      <c r="A1791">
        <v>1914</v>
      </c>
      <c r="B1791" t="s">
        <v>14</v>
      </c>
      <c r="C1791">
        <v>-16</v>
      </c>
    </row>
    <row r="1792" spans="1:3" x14ac:dyDescent="0.5">
      <c r="A1792">
        <v>1915</v>
      </c>
      <c r="B1792" t="s">
        <v>14</v>
      </c>
      <c r="C1792">
        <v>-182</v>
      </c>
    </row>
    <row r="1793" spans="1:3" x14ac:dyDescent="0.5">
      <c r="A1793">
        <v>1916</v>
      </c>
      <c r="B1793" t="s">
        <v>14</v>
      </c>
      <c r="C1793">
        <v>-104</v>
      </c>
    </row>
    <row r="1794" spans="1:3" x14ac:dyDescent="0.5">
      <c r="A1794">
        <v>1917</v>
      </c>
      <c r="B1794" t="s">
        <v>14</v>
      </c>
      <c r="C1794">
        <v>37</v>
      </c>
    </row>
    <row r="1795" spans="1:3" x14ac:dyDescent="0.5">
      <c r="A1795">
        <v>1918</v>
      </c>
      <c r="B1795" t="s">
        <v>14</v>
      </c>
      <c r="C1795">
        <v>4</v>
      </c>
    </row>
    <row r="1796" spans="1:3" x14ac:dyDescent="0.5">
      <c r="A1796">
        <v>1919</v>
      </c>
      <c r="B1796" t="s">
        <v>14</v>
      </c>
      <c r="C1796">
        <v>44</v>
      </c>
    </row>
    <row r="1797" spans="1:3" x14ac:dyDescent="0.5">
      <c r="A1797">
        <v>1920</v>
      </c>
      <c r="B1797" t="s">
        <v>14</v>
      </c>
      <c r="C1797">
        <v>-69</v>
      </c>
    </row>
    <row r="1798" spans="1:3" x14ac:dyDescent="0.5">
      <c r="A1798">
        <v>1921</v>
      </c>
      <c r="B1798" t="s">
        <v>14</v>
      </c>
      <c r="C1798">
        <v>-52</v>
      </c>
    </row>
    <row r="1799" spans="1:3" x14ac:dyDescent="0.5">
      <c r="A1799">
        <v>1922</v>
      </c>
      <c r="B1799" t="s">
        <v>14</v>
      </c>
      <c r="C1799">
        <v>-5</v>
      </c>
    </row>
    <row r="1800" spans="1:3" x14ac:dyDescent="0.5">
      <c r="A1800">
        <v>1923</v>
      </c>
      <c r="B1800" t="s">
        <v>14</v>
      </c>
      <c r="C1800">
        <v>-34</v>
      </c>
    </row>
    <row r="1801" spans="1:3" x14ac:dyDescent="0.5">
      <c r="A1801">
        <v>1924</v>
      </c>
      <c r="B1801" t="s">
        <v>14</v>
      </c>
      <c r="C1801">
        <v>-49</v>
      </c>
    </row>
    <row r="1802" spans="1:3" x14ac:dyDescent="0.5">
      <c r="A1802">
        <v>1925</v>
      </c>
      <c r="B1802" t="s">
        <v>14</v>
      </c>
      <c r="C1802">
        <v>-59</v>
      </c>
    </row>
    <row r="1803" spans="1:3" x14ac:dyDescent="0.5">
      <c r="A1803">
        <v>1926</v>
      </c>
      <c r="B1803" t="s">
        <v>14</v>
      </c>
      <c r="C1803">
        <v>-39</v>
      </c>
    </row>
    <row r="1804" spans="1:3" x14ac:dyDescent="0.5">
      <c r="A1804">
        <v>1927</v>
      </c>
      <c r="B1804" t="s">
        <v>14</v>
      </c>
      <c r="C1804">
        <v>-130</v>
      </c>
    </row>
    <row r="1805" spans="1:3" x14ac:dyDescent="0.5">
      <c r="A1805">
        <v>1928</v>
      </c>
      <c r="B1805" t="s">
        <v>14</v>
      </c>
      <c r="C1805">
        <v>-205</v>
      </c>
    </row>
    <row r="1806" spans="1:3" x14ac:dyDescent="0.5">
      <c r="A1806">
        <v>1929</v>
      </c>
      <c r="B1806" t="s">
        <v>14</v>
      </c>
      <c r="C1806">
        <v>-97</v>
      </c>
    </row>
    <row r="1807" spans="1:3" x14ac:dyDescent="0.5">
      <c r="A1807">
        <v>1930</v>
      </c>
      <c r="B1807" t="s">
        <v>14</v>
      </c>
      <c r="C1807">
        <v>-237</v>
      </c>
    </row>
    <row r="1808" spans="1:3" x14ac:dyDescent="0.5">
      <c r="A1808">
        <v>1931</v>
      </c>
      <c r="B1808" t="s">
        <v>14</v>
      </c>
      <c r="C1808">
        <v>-26</v>
      </c>
    </row>
    <row r="1809" spans="1:3" x14ac:dyDescent="0.5">
      <c r="A1809">
        <v>1932</v>
      </c>
      <c r="B1809" t="s">
        <v>14</v>
      </c>
      <c r="C1809">
        <v>-81</v>
      </c>
    </row>
    <row r="1810" spans="1:3" x14ac:dyDescent="0.5">
      <c r="A1810">
        <v>1933</v>
      </c>
      <c r="B1810" t="s">
        <v>14</v>
      </c>
      <c r="C1810">
        <v>-94</v>
      </c>
    </row>
    <row r="1811" spans="1:3" x14ac:dyDescent="0.5">
      <c r="A1811">
        <v>1934</v>
      </c>
      <c r="B1811" t="s">
        <v>14</v>
      </c>
      <c r="C1811">
        <v>-31</v>
      </c>
    </row>
    <row r="1812" spans="1:3" x14ac:dyDescent="0.5">
      <c r="A1812">
        <v>1935</v>
      </c>
      <c r="B1812" t="s">
        <v>14</v>
      </c>
      <c r="C1812">
        <v>-139</v>
      </c>
    </row>
    <row r="1813" spans="1:3" x14ac:dyDescent="0.5">
      <c r="A1813">
        <v>1936</v>
      </c>
      <c r="B1813" t="s">
        <v>14</v>
      </c>
      <c r="C1813">
        <v>26</v>
      </c>
    </row>
    <row r="1814" spans="1:3" x14ac:dyDescent="0.5">
      <c r="A1814">
        <v>1937</v>
      </c>
      <c r="B1814" t="s">
        <v>14</v>
      </c>
      <c r="C1814">
        <v>74</v>
      </c>
    </row>
    <row r="1815" spans="1:3" x14ac:dyDescent="0.5">
      <c r="A1815">
        <v>1938</v>
      </c>
      <c r="B1815" t="s">
        <v>14</v>
      </c>
      <c r="C1815">
        <v>-72</v>
      </c>
    </row>
    <row r="1816" spans="1:3" x14ac:dyDescent="0.5">
      <c r="A1816">
        <v>1939</v>
      </c>
      <c r="B1816" t="s">
        <v>14</v>
      </c>
      <c r="C1816">
        <v>-155</v>
      </c>
    </row>
    <row r="1817" spans="1:3" x14ac:dyDescent="0.5">
      <c r="A1817">
        <v>1940</v>
      </c>
      <c r="B1817" t="s">
        <v>14</v>
      </c>
      <c r="C1817">
        <v>16</v>
      </c>
    </row>
    <row r="1818" spans="1:3" x14ac:dyDescent="0.5">
      <c r="A1818">
        <v>1941</v>
      </c>
      <c r="B1818" t="s">
        <v>14</v>
      </c>
      <c r="C1818">
        <v>-26</v>
      </c>
    </row>
    <row r="1819" spans="1:3" x14ac:dyDescent="0.5">
      <c r="A1819">
        <v>1942</v>
      </c>
      <c r="B1819" t="s">
        <v>14</v>
      </c>
      <c r="C1819">
        <v>-69</v>
      </c>
    </row>
    <row r="1820" spans="1:3" x14ac:dyDescent="0.5">
      <c r="A1820">
        <v>1943</v>
      </c>
      <c r="B1820" t="s">
        <v>14</v>
      </c>
      <c r="C1820">
        <v>136</v>
      </c>
    </row>
    <row r="1821" spans="1:3" x14ac:dyDescent="0.5">
      <c r="A1821">
        <v>1944</v>
      </c>
      <c r="B1821" t="s">
        <v>14</v>
      </c>
      <c r="C1821">
        <v>-49</v>
      </c>
    </row>
    <row r="1822" spans="1:3" x14ac:dyDescent="0.5">
      <c r="A1822">
        <v>1945</v>
      </c>
      <c r="B1822" t="s">
        <v>14</v>
      </c>
      <c r="C1822">
        <v>-143</v>
      </c>
    </row>
    <row r="1823" spans="1:3" x14ac:dyDescent="0.5">
      <c r="A1823">
        <v>1946</v>
      </c>
      <c r="B1823" t="s">
        <v>14</v>
      </c>
      <c r="C1823">
        <v>41</v>
      </c>
    </row>
    <row r="1824" spans="1:3" x14ac:dyDescent="0.5">
      <c r="A1824">
        <v>1947</v>
      </c>
      <c r="B1824" t="s">
        <v>14</v>
      </c>
      <c r="C1824">
        <v>28</v>
      </c>
    </row>
    <row r="1825" spans="1:3" x14ac:dyDescent="0.5">
      <c r="A1825">
        <v>1948</v>
      </c>
      <c r="B1825" t="s">
        <v>14</v>
      </c>
      <c r="C1825">
        <v>-83</v>
      </c>
    </row>
    <row r="1826" spans="1:3" x14ac:dyDescent="0.5">
      <c r="A1826">
        <v>1949</v>
      </c>
      <c r="B1826" t="s">
        <v>14</v>
      </c>
      <c r="C1826">
        <v>-152</v>
      </c>
    </row>
    <row r="1827" spans="1:3" x14ac:dyDescent="0.5">
      <c r="A1827">
        <v>1950</v>
      </c>
      <c r="B1827" t="s">
        <v>14</v>
      </c>
      <c r="C1827">
        <v>-68</v>
      </c>
    </row>
    <row r="1828" spans="1:3" x14ac:dyDescent="0.5">
      <c r="A1828">
        <v>1951</v>
      </c>
      <c r="B1828" t="s">
        <v>14</v>
      </c>
      <c r="C1828">
        <v>-48</v>
      </c>
    </row>
    <row r="1829" spans="1:3" x14ac:dyDescent="0.5">
      <c r="A1829">
        <v>1952</v>
      </c>
      <c r="B1829" t="s">
        <v>14</v>
      </c>
      <c r="C1829">
        <v>-21</v>
      </c>
    </row>
    <row r="1830" spans="1:3" x14ac:dyDescent="0.5">
      <c r="A1830">
        <v>1953</v>
      </c>
      <c r="B1830" t="s">
        <v>14</v>
      </c>
      <c r="C1830">
        <v>-93</v>
      </c>
    </row>
    <row r="1831" spans="1:3" x14ac:dyDescent="0.5">
      <c r="A1831">
        <v>1954</v>
      </c>
      <c r="B1831" t="s">
        <v>14</v>
      </c>
      <c r="C1831">
        <v>-69</v>
      </c>
    </row>
    <row r="1832" spans="1:3" x14ac:dyDescent="0.5">
      <c r="A1832">
        <v>1955</v>
      </c>
      <c r="B1832" t="s">
        <v>14</v>
      </c>
      <c r="C1832">
        <v>130</v>
      </c>
    </row>
    <row r="1833" spans="1:3" x14ac:dyDescent="0.5">
      <c r="A1833">
        <v>1956</v>
      </c>
      <c r="B1833" t="s">
        <v>14</v>
      </c>
      <c r="C1833">
        <v>59</v>
      </c>
    </row>
    <row r="1834" spans="1:3" x14ac:dyDescent="0.5">
      <c r="A1834">
        <v>1957</v>
      </c>
      <c r="B1834" t="s">
        <v>14</v>
      </c>
      <c r="C1834">
        <v>39</v>
      </c>
    </row>
    <row r="1835" spans="1:3" x14ac:dyDescent="0.5">
      <c r="A1835">
        <v>1958</v>
      </c>
      <c r="B1835" t="s">
        <v>14</v>
      </c>
      <c r="C1835">
        <v>-68</v>
      </c>
    </row>
    <row r="1836" spans="1:3" x14ac:dyDescent="0.5">
      <c r="A1836">
        <v>1959</v>
      </c>
      <c r="B1836" t="s">
        <v>14</v>
      </c>
      <c r="C1836">
        <v>-36</v>
      </c>
    </row>
    <row r="1837" spans="1:3" x14ac:dyDescent="0.5">
      <c r="A1837">
        <v>1960</v>
      </c>
      <c r="B1837" t="s">
        <v>14</v>
      </c>
      <c r="C1837">
        <v>-86</v>
      </c>
    </row>
    <row r="1838" spans="1:3" x14ac:dyDescent="0.5">
      <c r="A1838">
        <v>1961</v>
      </c>
      <c r="B1838" t="s">
        <v>14</v>
      </c>
      <c r="C1838">
        <v>12</v>
      </c>
    </row>
    <row r="1839" spans="1:3" x14ac:dyDescent="0.5">
      <c r="A1839">
        <v>1962</v>
      </c>
      <c r="B1839" t="s">
        <v>14</v>
      </c>
      <c r="C1839">
        <v>-85</v>
      </c>
    </row>
    <row r="1840" spans="1:3" x14ac:dyDescent="0.5">
      <c r="A1840">
        <v>1963</v>
      </c>
      <c r="B1840" t="s">
        <v>14</v>
      </c>
      <c r="C1840">
        <v>5</v>
      </c>
    </row>
    <row r="1841" spans="1:3" x14ac:dyDescent="0.5">
      <c r="A1841">
        <v>1964</v>
      </c>
      <c r="B1841" t="s">
        <v>14</v>
      </c>
      <c r="C1841">
        <v>-44</v>
      </c>
    </row>
    <row r="1842" spans="1:3" x14ac:dyDescent="0.5">
      <c r="A1842">
        <v>1965</v>
      </c>
      <c r="B1842" t="s">
        <v>14</v>
      </c>
      <c r="C1842">
        <v>-6</v>
      </c>
    </row>
    <row r="1843" spans="1:3" x14ac:dyDescent="0.5">
      <c r="A1843">
        <v>1966</v>
      </c>
      <c r="B1843" t="s">
        <v>14</v>
      </c>
      <c r="C1843">
        <v>15</v>
      </c>
    </row>
    <row r="1844" spans="1:3" x14ac:dyDescent="0.5">
      <c r="A1844">
        <v>1967</v>
      </c>
      <c r="B1844" t="s">
        <v>14</v>
      </c>
      <c r="C1844">
        <v>27</v>
      </c>
    </row>
    <row r="1845" spans="1:3" x14ac:dyDescent="0.5">
      <c r="A1845">
        <v>1968</v>
      </c>
      <c r="B1845" t="s">
        <v>14</v>
      </c>
      <c r="C1845">
        <v>-14</v>
      </c>
    </row>
    <row r="1846" spans="1:3" x14ac:dyDescent="0.5">
      <c r="A1846">
        <v>1969</v>
      </c>
      <c r="B1846" t="s">
        <v>14</v>
      </c>
      <c r="C1846">
        <v>-4</v>
      </c>
    </row>
    <row r="1847" spans="1:3" x14ac:dyDescent="0.5">
      <c r="A1847">
        <v>1970</v>
      </c>
      <c r="B1847" t="s">
        <v>14</v>
      </c>
      <c r="C1847">
        <v>41</v>
      </c>
    </row>
    <row r="1848" spans="1:3" x14ac:dyDescent="0.5">
      <c r="A1848">
        <v>1971</v>
      </c>
      <c r="B1848" t="s">
        <v>14</v>
      </c>
      <c r="C1848">
        <v>25</v>
      </c>
    </row>
    <row r="1849" spans="1:3" x14ac:dyDescent="0.5">
      <c r="A1849">
        <v>1972</v>
      </c>
      <c r="B1849" t="s">
        <v>14</v>
      </c>
      <c r="C1849">
        <v>55</v>
      </c>
    </row>
    <row r="1850" spans="1:3" x14ac:dyDescent="0.5">
      <c r="A1850">
        <v>1973</v>
      </c>
      <c r="B1850" t="s">
        <v>14</v>
      </c>
      <c r="C1850">
        <v>29</v>
      </c>
    </row>
    <row r="1851" spans="1:3" x14ac:dyDescent="0.5">
      <c r="A1851">
        <v>1974</v>
      </c>
      <c r="B1851" t="s">
        <v>14</v>
      </c>
      <c r="C1851">
        <v>58</v>
      </c>
    </row>
    <row r="1852" spans="1:3" x14ac:dyDescent="0.5">
      <c r="A1852">
        <v>1975</v>
      </c>
      <c r="B1852" t="s">
        <v>14</v>
      </c>
      <c r="C1852">
        <v>28</v>
      </c>
    </row>
    <row r="1853" spans="1:3" x14ac:dyDescent="0.5">
      <c r="A1853">
        <v>1976</v>
      </c>
      <c r="B1853" t="s">
        <v>14</v>
      </c>
      <c r="C1853">
        <v>-36</v>
      </c>
    </row>
    <row r="1854" spans="1:3" x14ac:dyDescent="0.5">
      <c r="A1854">
        <v>1977</v>
      </c>
      <c r="B1854" t="s">
        <v>14</v>
      </c>
      <c r="C1854">
        <v>13</v>
      </c>
    </row>
    <row r="1855" spans="1:3" x14ac:dyDescent="0.5">
      <c r="A1855">
        <v>1978</v>
      </c>
      <c r="B1855" t="s">
        <v>14</v>
      </c>
      <c r="C1855">
        <v>-5</v>
      </c>
    </row>
    <row r="1856" spans="1:3" x14ac:dyDescent="0.5">
      <c r="A1856">
        <v>1979</v>
      </c>
      <c r="B1856" t="s">
        <v>14</v>
      </c>
      <c r="C1856">
        <v>-24</v>
      </c>
    </row>
    <row r="1857" spans="1:3" x14ac:dyDescent="0.5">
      <c r="A1857">
        <v>1980</v>
      </c>
      <c r="B1857" t="s">
        <v>14</v>
      </c>
      <c r="C1857">
        <v>104</v>
      </c>
    </row>
    <row r="1858" spans="1:3" x14ac:dyDescent="0.5">
      <c r="A1858">
        <v>1981</v>
      </c>
      <c r="B1858" t="s">
        <v>14</v>
      </c>
      <c r="C1858">
        <v>54</v>
      </c>
    </row>
    <row r="1859" spans="1:3" x14ac:dyDescent="0.5">
      <c r="A1859">
        <v>1982</v>
      </c>
      <c r="B1859" t="s">
        <v>14</v>
      </c>
      <c r="C1859">
        <v>-27</v>
      </c>
    </row>
    <row r="1860" spans="1:3" x14ac:dyDescent="0.5">
      <c r="A1860">
        <v>1983</v>
      </c>
      <c r="B1860" t="s">
        <v>14</v>
      </c>
      <c r="C1860">
        <v>4</v>
      </c>
    </row>
    <row r="1861" spans="1:3" x14ac:dyDescent="0.5">
      <c r="A1861">
        <v>1984</v>
      </c>
      <c r="B1861" t="s">
        <v>14</v>
      </c>
      <c r="C1861">
        <v>58</v>
      </c>
    </row>
    <row r="1862" spans="1:3" x14ac:dyDescent="0.5">
      <c r="A1862">
        <v>1985</v>
      </c>
      <c r="B1862" t="s">
        <v>14</v>
      </c>
      <c r="C1862">
        <v>14</v>
      </c>
    </row>
    <row r="1863" spans="1:3" x14ac:dyDescent="0.5">
      <c r="A1863">
        <v>1986</v>
      </c>
      <c r="B1863" t="s">
        <v>14</v>
      </c>
      <c r="C1863">
        <v>-3</v>
      </c>
    </row>
    <row r="1864" spans="1:3" x14ac:dyDescent="0.5">
      <c r="A1864">
        <v>1987</v>
      </c>
      <c r="B1864" t="s">
        <v>14</v>
      </c>
      <c r="C1864">
        <v>18</v>
      </c>
    </row>
    <row r="1865" spans="1:3" x14ac:dyDescent="0.5">
      <c r="A1865">
        <v>1988</v>
      </c>
      <c r="B1865" t="s">
        <v>14</v>
      </c>
      <c r="C1865">
        <v>105</v>
      </c>
    </row>
    <row r="1866" spans="1:3" x14ac:dyDescent="0.5">
      <c r="A1866">
        <v>1989</v>
      </c>
      <c r="B1866" t="s">
        <v>14</v>
      </c>
      <c r="C1866">
        <v>34</v>
      </c>
    </row>
    <row r="1867" spans="1:3" x14ac:dyDescent="0.5">
      <c r="A1867">
        <v>1990</v>
      </c>
      <c r="B1867" t="s">
        <v>14</v>
      </c>
      <c r="C1867">
        <v>28</v>
      </c>
    </row>
    <row r="1868" spans="1:3" x14ac:dyDescent="0.5">
      <c r="A1868">
        <v>1991</v>
      </c>
      <c r="B1868" t="s">
        <v>14</v>
      </c>
      <c r="C1868">
        <v>99</v>
      </c>
    </row>
    <row r="1869" spans="1:3" x14ac:dyDescent="0.5">
      <c r="A1869">
        <v>1992</v>
      </c>
      <c r="B1869" t="s">
        <v>14</v>
      </c>
      <c r="C1869">
        <v>42</v>
      </c>
    </row>
    <row r="1870" spans="1:3" x14ac:dyDescent="0.5">
      <c r="A1870">
        <v>1993</v>
      </c>
      <c r="B1870" t="s">
        <v>14</v>
      </c>
      <c r="C1870">
        <v>-13</v>
      </c>
    </row>
    <row r="1871" spans="1:3" x14ac:dyDescent="0.5">
      <c r="A1871">
        <v>1994</v>
      </c>
      <c r="B1871" t="s">
        <v>14</v>
      </c>
      <c r="C1871">
        <v>-11</v>
      </c>
    </row>
    <row r="1872" spans="1:3" x14ac:dyDescent="0.5">
      <c r="A1872">
        <v>1995</v>
      </c>
      <c r="B1872" t="s">
        <v>14</v>
      </c>
      <c r="C1872">
        <v>8</v>
      </c>
    </row>
    <row r="1873" spans="1:3" x14ac:dyDescent="0.5">
      <c r="A1873">
        <v>1996</v>
      </c>
      <c r="B1873" t="s">
        <v>14</v>
      </c>
      <c r="C1873">
        <v>111</v>
      </c>
    </row>
    <row r="1874" spans="1:3" x14ac:dyDescent="0.5">
      <c r="A1874">
        <v>1997</v>
      </c>
      <c r="B1874" t="s">
        <v>14</v>
      </c>
      <c r="C1874">
        <v>-4</v>
      </c>
    </row>
    <row r="1875" spans="1:3" x14ac:dyDescent="0.5">
      <c r="A1875">
        <v>1998</v>
      </c>
      <c r="B1875" t="s">
        <v>14</v>
      </c>
      <c r="C1875">
        <v>21</v>
      </c>
    </row>
    <row r="1876" spans="1:3" x14ac:dyDescent="0.5">
      <c r="A1876">
        <v>1999</v>
      </c>
      <c r="B1876" t="s">
        <v>14</v>
      </c>
      <c r="C1876">
        <v>3</v>
      </c>
    </row>
    <row r="1877" spans="1:3" x14ac:dyDescent="0.5">
      <c r="A1877">
        <v>2000</v>
      </c>
      <c r="B1877" t="s">
        <v>14</v>
      </c>
      <c r="C1877">
        <v>34</v>
      </c>
    </row>
    <row r="1878" spans="1:3" x14ac:dyDescent="0.5">
      <c r="A1878">
        <v>2001</v>
      </c>
      <c r="B1878" t="s">
        <v>14</v>
      </c>
      <c r="C1878">
        <v>49</v>
      </c>
    </row>
    <row r="1879" spans="1:3" x14ac:dyDescent="0.5">
      <c r="A1879">
        <v>2002</v>
      </c>
      <c r="B1879" t="s">
        <v>14</v>
      </c>
      <c r="C1879">
        <v>87</v>
      </c>
    </row>
    <row r="1880" spans="1:3" x14ac:dyDescent="0.5">
      <c r="A1880">
        <v>2003</v>
      </c>
      <c r="B1880" t="s">
        <v>14</v>
      </c>
      <c r="C1880">
        <v>59</v>
      </c>
    </row>
    <row r="1881" spans="1:3" x14ac:dyDescent="0.5">
      <c r="A1881">
        <v>2004</v>
      </c>
      <c r="B1881" t="s">
        <v>14</v>
      </c>
      <c r="C1881">
        <v>-6</v>
      </c>
    </row>
    <row r="1882" spans="1:3" x14ac:dyDescent="0.5">
      <c r="A1882">
        <v>2005</v>
      </c>
      <c r="B1882" t="s">
        <v>14</v>
      </c>
      <c r="C1882">
        <v>76</v>
      </c>
    </row>
    <row r="1883" spans="1:3" x14ac:dyDescent="0.5">
      <c r="A1883">
        <v>2006</v>
      </c>
      <c r="B1883" t="s">
        <v>14</v>
      </c>
      <c r="C1883">
        <v>36</v>
      </c>
    </row>
    <row r="1884" spans="1:3" x14ac:dyDescent="0.5">
      <c r="A1884">
        <v>2007</v>
      </c>
      <c r="B1884" t="s">
        <v>14</v>
      </c>
      <c r="C1884">
        <v>117</v>
      </c>
    </row>
    <row r="1885" spans="1:3" x14ac:dyDescent="0.5">
      <c r="A1885">
        <v>2008</v>
      </c>
      <c r="B1885" t="s">
        <v>14</v>
      </c>
      <c r="C1885">
        <v>50</v>
      </c>
    </row>
    <row r="1886" spans="1:3" x14ac:dyDescent="0.5">
      <c r="A1886">
        <v>2009</v>
      </c>
      <c r="B1886" t="s">
        <v>14</v>
      </c>
      <c r="C1886">
        <v>85</v>
      </c>
    </row>
    <row r="1887" spans="1:3" x14ac:dyDescent="0.5">
      <c r="A1887">
        <v>2010</v>
      </c>
      <c r="B1887" t="s">
        <v>14</v>
      </c>
      <c r="C1887">
        <v>38</v>
      </c>
    </row>
    <row r="1888" spans="1:3" x14ac:dyDescent="0.5">
      <c r="A1888">
        <v>2011</v>
      </c>
      <c r="B1888" t="s">
        <v>14</v>
      </c>
      <c r="C1888">
        <v>93</v>
      </c>
    </row>
    <row r="1889" spans="1:3" x14ac:dyDescent="0.5">
      <c r="A1889">
        <v>2012</v>
      </c>
      <c r="B1889" t="s">
        <v>14</v>
      </c>
      <c r="C1889">
        <v>32</v>
      </c>
    </row>
    <row r="1890" spans="1:3" x14ac:dyDescent="0.5">
      <c r="A1890">
        <v>2013</v>
      </c>
      <c r="B1890" t="s">
        <v>14</v>
      </c>
      <c r="C1890">
        <v>67</v>
      </c>
    </row>
    <row r="1891" spans="1:3" x14ac:dyDescent="0.5">
      <c r="A1891">
        <v>2014</v>
      </c>
      <c r="B1891" t="s">
        <v>14</v>
      </c>
      <c r="C1891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6:AN144"/>
  <sheetViews>
    <sheetView topLeftCell="X1" zoomScale="87" workbookViewId="0">
      <selection activeCell="AM7" sqref="AA7:AM7"/>
    </sheetView>
  </sheetViews>
  <sheetFormatPr defaultColWidth="11" defaultRowHeight="15.75" x14ac:dyDescent="0.5"/>
  <cols>
    <col min="3" max="3" width="10.4375" bestFit="1" customWidth="1"/>
    <col min="4" max="4" width="8.3125" bestFit="1" customWidth="1"/>
    <col min="5" max="5" width="3.6875" bestFit="1" customWidth="1"/>
    <col min="6" max="6" width="4" bestFit="1" customWidth="1"/>
    <col min="7" max="7" width="3.6875" bestFit="1" customWidth="1"/>
    <col min="8" max="8" width="4.1875" bestFit="1" customWidth="1"/>
    <col min="9" max="9" width="3.4375" bestFit="1" customWidth="1"/>
    <col min="10" max="10" width="3.6875" bestFit="1" customWidth="1"/>
    <col min="11" max="11" width="3.875" bestFit="1" customWidth="1"/>
    <col min="12" max="13" width="3.6875" bestFit="1" customWidth="1"/>
    <col min="14" max="14" width="3.9375" bestFit="1" customWidth="1"/>
    <col min="15" max="15" width="3.8125" bestFit="1" customWidth="1"/>
    <col min="16" max="16" width="3.6875" bestFit="1" customWidth="1"/>
    <col min="17" max="17" width="3.875" bestFit="1" customWidth="1"/>
    <col min="18" max="19" width="3.6875" bestFit="1" customWidth="1"/>
    <col min="20" max="20" width="5.25" bestFit="1" customWidth="1"/>
    <col min="21" max="21" width="4.25" bestFit="1" customWidth="1"/>
    <col min="22" max="22" width="10.25" bestFit="1" customWidth="1"/>
    <col min="25" max="25" width="10.6875" bestFit="1" customWidth="1"/>
    <col min="26" max="26" width="7.25" bestFit="1" customWidth="1"/>
    <col min="27" max="28" width="8.0625" bestFit="1" customWidth="1"/>
    <col min="29" max="29" width="7.6875" bestFit="1" customWidth="1"/>
    <col min="30" max="31" width="8.0625" bestFit="1" customWidth="1"/>
    <col min="32" max="32" width="7.3125" bestFit="1" customWidth="1"/>
    <col min="33" max="33" width="8.0625" bestFit="1" customWidth="1"/>
    <col min="34" max="36" width="7.3125" bestFit="1" customWidth="1"/>
    <col min="37" max="37" width="8.375" bestFit="1" customWidth="1"/>
    <col min="38" max="38" width="5.875" bestFit="1" customWidth="1"/>
    <col min="39" max="39" width="5.5" bestFit="1" customWidth="1"/>
    <col min="40" max="40" width="10.4375" bestFit="1" customWidth="1"/>
  </cols>
  <sheetData>
    <row r="6" spans="3:40" x14ac:dyDescent="0.5">
      <c r="C6" s="2" t="s">
        <v>36</v>
      </c>
      <c r="D6" s="2" t="s">
        <v>33</v>
      </c>
      <c r="Y6" s="2" t="s">
        <v>36</v>
      </c>
      <c r="Z6" s="2" t="s">
        <v>37</v>
      </c>
    </row>
    <row r="7" spans="3:40" x14ac:dyDescent="0.5">
      <c r="C7" s="2" t="s">
        <v>0</v>
      </c>
      <c r="D7" t="s">
        <v>15</v>
      </c>
      <c r="E7" t="s">
        <v>16</v>
      </c>
      <c r="F7" t="s">
        <v>17</v>
      </c>
      <c r="G7" t="s">
        <v>18</v>
      </c>
      <c r="H7" t="s">
        <v>19</v>
      </c>
      <c r="I7" t="s">
        <v>20</v>
      </c>
      <c r="J7" t="s">
        <v>21</v>
      </c>
      <c r="K7" t="s">
        <v>22</v>
      </c>
      <c r="L7" t="s">
        <v>23</v>
      </c>
      <c r="M7" t="s">
        <v>24</v>
      </c>
      <c r="N7" t="s">
        <v>25</v>
      </c>
      <c r="O7" t="s">
        <v>26</v>
      </c>
      <c r="P7" t="s">
        <v>29</v>
      </c>
      <c r="Q7" t="s">
        <v>28</v>
      </c>
      <c r="R7" t="s">
        <v>27</v>
      </c>
      <c r="S7" t="s">
        <v>31</v>
      </c>
      <c r="T7" t="s">
        <v>30</v>
      </c>
      <c r="U7" t="s">
        <v>32</v>
      </c>
      <c r="V7" t="s">
        <v>35</v>
      </c>
      <c r="Y7" s="2" t="s">
        <v>0</v>
      </c>
      <c r="Z7" t="s">
        <v>38</v>
      </c>
      <c r="AA7" t="s">
        <v>9</v>
      </c>
      <c r="AB7" t="s">
        <v>4</v>
      </c>
      <c r="AC7" t="s">
        <v>5</v>
      </c>
      <c r="AD7" t="s">
        <v>11</v>
      </c>
      <c r="AE7" t="s">
        <v>8</v>
      </c>
      <c r="AF7" t="s">
        <v>12</v>
      </c>
      <c r="AG7" t="s">
        <v>7</v>
      </c>
      <c r="AH7" t="s">
        <v>13</v>
      </c>
      <c r="AI7" t="s">
        <v>6</v>
      </c>
      <c r="AJ7" t="s">
        <v>14</v>
      </c>
      <c r="AK7" t="s">
        <v>10</v>
      </c>
      <c r="AL7" t="s">
        <v>2</v>
      </c>
      <c r="AM7" t="s">
        <v>3</v>
      </c>
      <c r="AN7" t="s">
        <v>35</v>
      </c>
    </row>
    <row r="8" spans="3:40" x14ac:dyDescent="0.5">
      <c r="C8" s="3">
        <v>1880</v>
      </c>
      <c r="D8" s="4">
        <v>-29</v>
      </c>
      <c r="E8" s="4">
        <v>-19</v>
      </c>
      <c r="F8" s="4">
        <v>-17</v>
      </c>
      <c r="G8" s="4">
        <v>-27</v>
      </c>
      <c r="H8" s="4">
        <v>-13</v>
      </c>
      <c r="I8" s="4">
        <v>-28</v>
      </c>
      <c r="J8" s="4">
        <v>-22</v>
      </c>
      <c r="K8" s="4">
        <v>-6</v>
      </c>
      <c r="L8" s="4">
        <v>-16</v>
      </c>
      <c r="M8" s="4">
        <v>-15</v>
      </c>
      <c r="N8" s="4">
        <v>-18</v>
      </c>
      <c r="O8" s="4">
        <v>-20</v>
      </c>
      <c r="P8" s="4"/>
      <c r="Q8" s="4"/>
      <c r="R8" s="4">
        <v>-19</v>
      </c>
      <c r="S8" s="4">
        <v>-19</v>
      </c>
      <c r="T8" s="4">
        <v>-19</v>
      </c>
      <c r="U8" s="4">
        <v>-16</v>
      </c>
      <c r="V8" s="4">
        <v>-303</v>
      </c>
      <c r="Y8" s="3">
        <v>1880</v>
      </c>
      <c r="Z8" s="4">
        <v>-19</v>
      </c>
      <c r="AA8" s="4">
        <v>-22</v>
      </c>
      <c r="AB8" s="4">
        <v>-38</v>
      </c>
      <c r="AC8" s="4">
        <v>-16</v>
      </c>
      <c r="AD8" s="4">
        <v>-5</v>
      </c>
      <c r="AE8" s="4">
        <v>-54</v>
      </c>
      <c r="AF8" s="4">
        <v>-2</v>
      </c>
      <c r="AG8" s="4">
        <v>-89</v>
      </c>
      <c r="AH8" s="4">
        <v>-8</v>
      </c>
      <c r="AI8" s="4">
        <v>-5</v>
      </c>
      <c r="AJ8" s="4">
        <v>39</v>
      </c>
      <c r="AK8" s="4">
        <v>-26</v>
      </c>
      <c r="AL8" s="4">
        <v>-33</v>
      </c>
      <c r="AM8" s="4">
        <v>-5</v>
      </c>
      <c r="AN8" s="4">
        <v>-283</v>
      </c>
    </row>
    <row r="9" spans="3:40" x14ac:dyDescent="0.5">
      <c r="C9" s="3">
        <v>1881</v>
      </c>
      <c r="D9" s="4">
        <v>-8</v>
      </c>
      <c r="E9" s="4">
        <v>-13</v>
      </c>
      <c r="F9" s="4">
        <v>2</v>
      </c>
      <c r="G9" s="4">
        <v>-2</v>
      </c>
      <c r="H9" s="4">
        <v>-3</v>
      </c>
      <c r="I9" s="4">
        <v>-27</v>
      </c>
      <c r="J9" s="4">
        <v>-5</v>
      </c>
      <c r="K9" s="4">
        <v>-1</v>
      </c>
      <c r="L9" s="4">
        <v>-8</v>
      </c>
      <c r="M9" s="4">
        <v>-18</v>
      </c>
      <c r="N9" s="4">
        <v>-25</v>
      </c>
      <c r="O9" s="4">
        <v>-14</v>
      </c>
      <c r="P9" s="4">
        <v>-13</v>
      </c>
      <c r="Q9" s="4">
        <v>-11</v>
      </c>
      <c r="R9" s="4">
        <v>-10</v>
      </c>
      <c r="S9" s="4">
        <v>-11</v>
      </c>
      <c r="T9" s="4">
        <v>-1</v>
      </c>
      <c r="U9" s="4">
        <v>-17</v>
      </c>
      <c r="V9" s="4">
        <v>-185</v>
      </c>
      <c r="Y9" s="3">
        <v>1881</v>
      </c>
      <c r="Z9" s="4">
        <v>-10</v>
      </c>
      <c r="AA9" s="4">
        <v>-14</v>
      </c>
      <c r="AB9" s="4">
        <v>-27</v>
      </c>
      <c r="AC9" s="4">
        <v>-2</v>
      </c>
      <c r="AD9" s="4">
        <v>2</v>
      </c>
      <c r="AE9" s="4">
        <v>-40</v>
      </c>
      <c r="AF9" s="4">
        <v>-6</v>
      </c>
      <c r="AG9" s="4">
        <v>-54</v>
      </c>
      <c r="AH9" s="4">
        <v>-3</v>
      </c>
      <c r="AI9" s="4">
        <v>-5</v>
      </c>
      <c r="AJ9" s="4">
        <v>37</v>
      </c>
      <c r="AK9" s="4">
        <v>-5</v>
      </c>
      <c r="AL9" s="4">
        <v>-18</v>
      </c>
      <c r="AM9" s="4">
        <v>-2</v>
      </c>
      <c r="AN9" s="4">
        <v>-147</v>
      </c>
    </row>
    <row r="10" spans="3:40" x14ac:dyDescent="0.5">
      <c r="C10" s="3">
        <v>1882</v>
      </c>
      <c r="D10" s="4">
        <v>10</v>
      </c>
      <c r="E10" s="4">
        <v>10</v>
      </c>
      <c r="F10" s="4">
        <v>2</v>
      </c>
      <c r="G10" s="4">
        <v>-19</v>
      </c>
      <c r="H10" s="4">
        <v>-17</v>
      </c>
      <c r="I10" s="4">
        <v>-24</v>
      </c>
      <c r="J10" s="4">
        <v>-9</v>
      </c>
      <c r="K10" s="4">
        <v>5</v>
      </c>
      <c r="L10" s="4">
        <v>0</v>
      </c>
      <c r="M10" s="4">
        <v>-21</v>
      </c>
      <c r="N10" s="4">
        <v>-20</v>
      </c>
      <c r="O10" s="4">
        <v>-24</v>
      </c>
      <c r="P10" s="4">
        <v>2</v>
      </c>
      <c r="Q10" s="4">
        <v>-8</v>
      </c>
      <c r="R10" s="4">
        <v>-9</v>
      </c>
      <c r="S10" s="4">
        <v>-9</v>
      </c>
      <c r="T10" s="4">
        <v>-11</v>
      </c>
      <c r="U10" s="4">
        <v>-14</v>
      </c>
      <c r="V10" s="4">
        <v>-156</v>
      </c>
      <c r="Y10" s="3">
        <v>1882</v>
      </c>
      <c r="Z10" s="4">
        <v>-9</v>
      </c>
      <c r="AA10" s="4">
        <v>-3</v>
      </c>
      <c r="AB10" s="4">
        <v>-21</v>
      </c>
      <c r="AC10" s="4">
        <v>-10</v>
      </c>
      <c r="AD10" s="4">
        <v>-8</v>
      </c>
      <c r="AE10" s="4">
        <v>-20</v>
      </c>
      <c r="AF10" s="4">
        <v>3</v>
      </c>
      <c r="AG10" s="4">
        <v>-125</v>
      </c>
      <c r="AH10" s="4">
        <v>8</v>
      </c>
      <c r="AI10" s="4">
        <v>4</v>
      </c>
      <c r="AJ10" s="4">
        <v>42</v>
      </c>
      <c r="AK10" s="4">
        <v>-12</v>
      </c>
      <c r="AL10" s="4">
        <v>-17</v>
      </c>
      <c r="AM10" s="4">
        <v>-1</v>
      </c>
      <c r="AN10" s="4">
        <v>-169</v>
      </c>
    </row>
    <row r="11" spans="3:40" x14ac:dyDescent="0.5">
      <c r="C11" s="3">
        <v>1883</v>
      </c>
      <c r="D11" s="4">
        <v>-32</v>
      </c>
      <c r="E11" s="4">
        <v>-41</v>
      </c>
      <c r="F11" s="4">
        <v>-17</v>
      </c>
      <c r="G11" s="4">
        <v>-23</v>
      </c>
      <c r="H11" s="4">
        <v>-24</v>
      </c>
      <c r="I11" s="4">
        <v>-11</v>
      </c>
      <c r="J11" s="4">
        <v>-7</v>
      </c>
      <c r="K11" s="4">
        <v>-12</v>
      </c>
      <c r="L11" s="4">
        <v>-18</v>
      </c>
      <c r="M11" s="4">
        <v>-11</v>
      </c>
      <c r="N11" s="4">
        <v>-19</v>
      </c>
      <c r="O11" s="4">
        <v>-17</v>
      </c>
      <c r="P11" s="4">
        <v>-32</v>
      </c>
      <c r="Q11" s="4">
        <v>-20</v>
      </c>
      <c r="R11" s="4">
        <v>-19</v>
      </c>
      <c r="S11" s="4">
        <v>-10</v>
      </c>
      <c r="T11" s="4">
        <v>-22</v>
      </c>
      <c r="U11" s="4">
        <v>-16</v>
      </c>
      <c r="V11" s="4">
        <v>-351</v>
      </c>
      <c r="Y11" s="3">
        <v>1883</v>
      </c>
      <c r="Z11" s="4">
        <v>-19</v>
      </c>
      <c r="AA11" s="4">
        <v>-20</v>
      </c>
      <c r="AB11" s="4">
        <v>-34</v>
      </c>
      <c r="AC11" s="4">
        <v>-22</v>
      </c>
      <c r="AD11" s="4">
        <v>-19</v>
      </c>
      <c r="AE11" s="4">
        <v>-57</v>
      </c>
      <c r="AF11" s="4">
        <v>-1</v>
      </c>
      <c r="AG11" s="4">
        <v>-28</v>
      </c>
      <c r="AH11" s="4">
        <v>0</v>
      </c>
      <c r="AI11" s="4">
        <v>-2</v>
      </c>
      <c r="AJ11" s="4">
        <v>37</v>
      </c>
      <c r="AK11" s="4">
        <v>-25</v>
      </c>
      <c r="AL11" s="4">
        <v>-30</v>
      </c>
      <c r="AM11" s="4">
        <v>-8</v>
      </c>
      <c r="AN11" s="4">
        <v>-228</v>
      </c>
    </row>
    <row r="12" spans="3:40" x14ac:dyDescent="0.5">
      <c r="C12" s="3">
        <v>1884</v>
      </c>
      <c r="D12" s="4">
        <v>-17</v>
      </c>
      <c r="E12" s="4">
        <v>-11</v>
      </c>
      <c r="F12" s="4">
        <v>-33</v>
      </c>
      <c r="G12" s="4">
        <v>-35</v>
      </c>
      <c r="H12" s="4">
        <v>-31</v>
      </c>
      <c r="I12" s="4">
        <v>-37</v>
      </c>
      <c r="J12" s="4">
        <v>-33</v>
      </c>
      <c r="K12" s="4">
        <v>-25</v>
      </c>
      <c r="L12" s="4">
        <v>-22</v>
      </c>
      <c r="M12" s="4">
        <v>-22</v>
      </c>
      <c r="N12" s="4">
        <v>-30</v>
      </c>
      <c r="O12" s="4">
        <v>-28</v>
      </c>
      <c r="P12" s="4">
        <v>-15</v>
      </c>
      <c r="Q12" s="4">
        <v>-26</v>
      </c>
      <c r="R12" s="4">
        <v>-27</v>
      </c>
      <c r="S12" s="4">
        <v>-32</v>
      </c>
      <c r="T12" s="4">
        <v>-33</v>
      </c>
      <c r="U12" s="4">
        <v>-25</v>
      </c>
      <c r="V12" s="4">
        <v>-482</v>
      </c>
      <c r="Y12" s="3">
        <v>1884</v>
      </c>
      <c r="Z12" s="4">
        <v>-27</v>
      </c>
      <c r="AA12" s="4">
        <v>-41</v>
      </c>
      <c r="AB12" s="4">
        <v>-56</v>
      </c>
      <c r="AC12" s="4">
        <v>-17</v>
      </c>
      <c r="AD12" s="4">
        <v>-14</v>
      </c>
      <c r="AE12" s="4">
        <v>-58</v>
      </c>
      <c r="AF12" s="4">
        <v>-15</v>
      </c>
      <c r="AG12" s="4">
        <v>-127</v>
      </c>
      <c r="AH12" s="4">
        <v>-5</v>
      </c>
      <c r="AI12" s="4">
        <v>-11</v>
      </c>
      <c r="AJ12" s="4">
        <v>40</v>
      </c>
      <c r="AK12" s="4">
        <v>-21</v>
      </c>
      <c r="AL12" s="4">
        <v>-42</v>
      </c>
      <c r="AM12" s="4">
        <v>-12</v>
      </c>
      <c r="AN12" s="4">
        <v>-406</v>
      </c>
    </row>
    <row r="13" spans="3:40" x14ac:dyDescent="0.5">
      <c r="C13" s="3">
        <v>1885</v>
      </c>
      <c r="D13" s="4">
        <v>-64</v>
      </c>
      <c r="E13" s="4">
        <v>-29</v>
      </c>
      <c r="F13" s="4">
        <v>-23</v>
      </c>
      <c r="G13" s="4">
        <v>-44</v>
      </c>
      <c r="H13" s="4">
        <v>-41</v>
      </c>
      <c r="I13" s="4">
        <v>-50</v>
      </c>
      <c r="J13" s="4">
        <v>-28</v>
      </c>
      <c r="K13" s="4">
        <v>-27</v>
      </c>
      <c r="L13" s="4">
        <v>-19</v>
      </c>
      <c r="M13" s="4">
        <v>-19</v>
      </c>
      <c r="N13" s="4">
        <v>-22</v>
      </c>
      <c r="O13" s="4">
        <v>-5</v>
      </c>
      <c r="P13" s="4">
        <v>-41</v>
      </c>
      <c r="Q13" s="4">
        <v>-33</v>
      </c>
      <c r="R13" s="4">
        <v>-31</v>
      </c>
      <c r="S13" s="4">
        <v>-35</v>
      </c>
      <c r="T13" s="4">
        <v>-36</v>
      </c>
      <c r="U13" s="4">
        <v>-20</v>
      </c>
      <c r="V13" s="4">
        <v>-567</v>
      </c>
      <c r="Y13" s="3">
        <v>1885</v>
      </c>
      <c r="Z13" s="4">
        <v>-31</v>
      </c>
      <c r="AA13" s="4">
        <v>-43</v>
      </c>
      <c r="AB13" s="4">
        <v>-61</v>
      </c>
      <c r="AC13" s="4">
        <v>-17</v>
      </c>
      <c r="AD13" s="4">
        <v>-23</v>
      </c>
      <c r="AE13" s="4">
        <v>-70</v>
      </c>
      <c r="AF13" s="4">
        <v>-27</v>
      </c>
      <c r="AG13" s="4">
        <v>-119</v>
      </c>
      <c r="AH13" s="4">
        <v>-7</v>
      </c>
      <c r="AI13" s="4">
        <v>-20</v>
      </c>
      <c r="AJ13" s="4">
        <v>38</v>
      </c>
      <c r="AK13" s="4">
        <v>-11</v>
      </c>
      <c r="AL13" s="4">
        <v>-41</v>
      </c>
      <c r="AM13" s="4">
        <v>-21</v>
      </c>
      <c r="AN13" s="4">
        <v>-453</v>
      </c>
    </row>
    <row r="14" spans="3:40" x14ac:dyDescent="0.5">
      <c r="C14" s="3">
        <v>1886</v>
      </c>
      <c r="D14" s="4">
        <v>-41</v>
      </c>
      <c r="E14" s="4">
        <v>-45</v>
      </c>
      <c r="F14" s="4">
        <v>-41</v>
      </c>
      <c r="G14" s="4">
        <v>-28</v>
      </c>
      <c r="H14" s="4">
        <v>-27</v>
      </c>
      <c r="I14" s="4">
        <v>-39</v>
      </c>
      <c r="J14" s="4">
        <v>-15</v>
      </c>
      <c r="K14" s="4">
        <v>-31</v>
      </c>
      <c r="L14" s="4">
        <v>-18</v>
      </c>
      <c r="M14" s="4">
        <v>-25</v>
      </c>
      <c r="N14" s="4">
        <v>-26</v>
      </c>
      <c r="O14" s="4">
        <v>-24</v>
      </c>
      <c r="P14" s="4">
        <v>-30</v>
      </c>
      <c r="Q14" s="4">
        <v>-28</v>
      </c>
      <c r="R14" s="4">
        <v>-30</v>
      </c>
      <c r="S14" s="4">
        <v>-28</v>
      </c>
      <c r="T14" s="4">
        <v>-32</v>
      </c>
      <c r="U14" s="4">
        <v>-23</v>
      </c>
      <c r="V14" s="4">
        <v>-531</v>
      </c>
      <c r="Y14" s="3">
        <v>1886</v>
      </c>
      <c r="Z14" s="4">
        <v>-30</v>
      </c>
      <c r="AA14" s="4">
        <v>-38</v>
      </c>
      <c r="AB14" s="4">
        <v>-49</v>
      </c>
      <c r="AC14" s="4">
        <v>-24</v>
      </c>
      <c r="AD14" s="4">
        <v>-24</v>
      </c>
      <c r="AE14" s="4">
        <v>-43</v>
      </c>
      <c r="AF14" s="4">
        <v>-18</v>
      </c>
      <c r="AG14" s="4">
        <v>-124</v>
      </c>
      <c r="AH14" s="4">
        <v>-21</v>
      </c>
      <c r="AI14" s="4">
        <v>-20</v>
      </c>
      <c r="AJ14" s="4">
        <v>28</v>
      </c>
      <c r="AK14" s="4">
        <v>-24</v>
      </c>
      <c r="AL14" s="4">
        <v>-39</v>
      </c>
      <c r="AM14" s="4">
        <v>-21</v>
      </c>
      <c r="AN14" s="4">
        <v>-447</v>
      </c>
    </row>
    <row r="15" spans="3:40" x14ac:dyDescent="0.5">
      <c r="C15" s="3">
        <v>1887</v>
      </c>
      <c r="D15" s="4">
        <v>-65</v>
      </c>
      <c r="E15" s="4">
        <v>-47</v>
      </c>
      <c r="F15" s="4">
        <v>-31</v>
      </c>
      <c r="G15" s="4">
        <v>-37</v>
      </c>
      <c r="H15" s="4">
        <v>-33</v>
      </c>
      <c r="I15" s="4">
        <v>-20</v>
      </c>
      <c r="J15" s="4">
        <v>-18</v>
      </c>
      <c r="K15" s="4">
        <v>-27</v>
      </c>
      <c r="L15" s="4">
        <v>-19</v>
      </c>
      <c r="M15" s="4">
        <v>-32</v>
      </c>
      <c r="N15" s="4">
        <v>-25</v>
      </c>
      <c r="O15" s="4">
        <v>-37</v>
      </c>
      <c r="P15" s="4">
        <v>-46</v>
      </c>
      <c r="Q15" s="4">
        <v>-32</v>
      </c>
      <c r="R15" s="4">
        <v>-33</v>
      </c>
      <c r="S15" s="4">
        <v>-21</v>
      </c>
      <c r="T15" s="4">
        <v>-33</v>
      </c>
      <c r="U15" s="4">
        <v>-26</v>
      </c>
      <c r="V15" s="4">
        <v>-582</v>
      </c>
      <c r="Y15" s="3">
        <v>1887</v>
      </c>
      <c r="Z15" s="4">
        <v>-33</v>
      </c>
      <c r="AA15" s="4">
        <v>-21</v>
      </c>
      <c r="AB15" s="4">
        <v>-46</v>
      </c>
      <c r="AC15" s="4">
        <v>-27</v>
      </c>
      <c r="AD15" s="4">
        <v>-31</v>
      </c>
      <c r="AE15" s="4">
        <v>-52</v>
      </c>
      <c r="AF15" s="4">
        <v>-24</v>
      </c>
      <c r="AG15" s="4">
        <v>-158</v>
      </c>
      <c r="AH15" s="4">
        <v>-29</v>
      </c>
      <c r="AI15" s="4">
        <v>-26</v>
      </c>
      <c r="AJ15" s="4">
        <v>21</v>
      </c>
      <c r="AK15" s="4">
        <v>-24</v>
      </c>
      <c r="AL15" s="4">
        <v>-37</v>
      </c>
      <c r="AM15" s="4">
        <v>-28</v>
      </c>
      <c r="AN15" s="4">
        <v>-515</v>
      </c>
    </row>
    <row r="16" spans="3:40" x14ac:dyDescent="0.5">
      <c r="C16" s="3">
        <v>1888</v>
      </c>
      <c r="D16" s="4">
        <v>-42</v>
      </c>
      <c r="E16" s="4">
        <v>-42</v>
      </c>
      <c r="F16" s="4">
        <v>-47</v>
      </c>
      <c r="G16" s="4">
        <v>-28</v>
      </c>
      <c r="H16" s="4">
        <v>-21</v>
      </c>
      <c r="I16" s="4">
        <v>-20</v>
      </c>
      <c r="J16" s="4">
        <v>-8</v>
      </c>
      <c r="K16" s="4">
        <v>-10</v>
      </c>
      <c r="L16" s="4">
        <v>-7</v>
      </c>
      <c r="M16" s="4">
        <v>2</v>
      </c>
      <c r="N16" s="4">
        <v>0</v>
      </c>
      <c r="O16" s="4">
        <v>-11</v>
      </c>
      <c r="P16" s="4">
        <v>-40</v>
      </c>
      <c r="Q16" s="4">
        <v>-22</v>
      </c>
      <c r="R16" s="4">
        <v>-20</v>
      </c>
      <c r="S16" s="4">
        <v>-13</v>
      </c>
      <c r="T16" s="4">
        <v>-32</v>
      </c>
      <c r="U16" s="4">
        <v>-2</v>
      </c>
      <c r="V16" s="4">
        <v>-363</v>
      </c>
      <c r="Y16" s="3">
        <v>1888</v>
      </c>
      <c r="Z16" s="4">
        <v>-20</v>
      </c>
      <c r="AA16" s="4">
        <v>-22</v>
      </c>
      <c r="AB16" s="4">
        <v>-42</v>
      </c>
      <c r="AC16" s="4">
        <v>7</v>
      </c>
      <c r="AD16" s="4">
        <v>8</v>
      </c>
      <c r="AE16" s="4">
        <v>-43</v>
      </c>
      <c r="AF16" s="4">
        <v>-30</v>
      </c>
      <c r="AG16" s="4">
        <v>-141</v>
      </c>
      <c r="AH16" s="4">
        <v>-38</v>
      </c>
      <c r="AI16" s="4">
        <v>-33</v>
      </c>
      <c r="AJ16" s="4">
        <v>16</v>
      </c>
      <c r="AK16" s="4">
        <v>7</v>
      </c>
      <c r="AL16" s="4">
        <v>-22</v>
      </c>
      <c r="AM16" s="4">
        <v>-17</v>
      </c>
      <c r="AN16" s="4">
        <v>-370</v>
      </c>
    </row>
    <row r="17" spans="3:40" x14ac:dyDescent="0.5">
      <c r="C17" s="3">
        <v>1889</v>
      </c>
      <c r="D17" s="4">
        <v>-19</v>
      </c>
      <c r="E17" s="4">
        <v>15</v>
      </c>
      <c r="F17" s="4">
        <v>4</v>
      </c>
      <c r="G17" s="4">
        <v>5</v>
      </c>
      <c r="H17" s="4">
        <v>-3</v>
      </c>
      <c r="I17" s="4">
        <v>-11</v>
      </c>
      <c r="J17" s="4">
        <v>-5</v>
      </c>
      <c r="K17" s="4">
        <v>-18</v>
      </c>
      <c r="L17" s="4">
        <v>-18</v>
      </c>
      <c r="M17" s="4">
        <v>-22</v>
      </c>
      <c r="N17" s="4">
        <v>-30</v>
      </c>
      <c r="O17" s="4">
        <v>-29</v>
      </c>
      <c r="P17" s="4">
        <v>-5</v>
      </c>
      <c r="Q17" s="4">
        <v>-9</v>
      </c>
      <c r="R17" s="4">
        <v>-11</v>
      </c>
      <c r="S17" s="4">
        <v>-11</v>
      </c>
      <c r="T17" s="4">
        <v>2</v>
      </c>
      <c r="U17" s="4">
        <v>-23</v>
      </c>
      <c r="V17" s="4">
        <v>-188</v>
      </c>
      <c r="Y17" s="3">
        <v>1889</v>
      </c>
      <c r="Z17" s="4">
        <v>-11</v>
      </c>
      <c r="AA17" s="4">
        <v>-21</v>
      </c>
      <c r="AB17" s="4">
        <v>-25</v>
      </c>
      <c r="AC17" s="4">
        <v>4</v>
      </c>
      <c r="AD17" s="4">
        <v>11</v>
      </c>
      <c r="AE17" s="4">
        <v>-13</v>
      </c>
      <c r="AF17" s="4">
        <v>-16</v>
      </c>
      <c r="AG17" s="4">
        <v>-82</v>
      </c>
      <c r="AH17" s="4">
        <v>-17</v>
      </c>
      <c r="AI17" s="4">
        <v>-17</v>
      </c>
      <c r="AJ17" s="4">
        <v>19</v>
      </c>
      <c r="AK17" s="4">
        <v>-3</v>
      </c>
      <c r="AL17" s="4">
        <v>-16</v>
      </c>
      <c r="AM17" s="4">
        <v>-6</v>
      </c>
      <c r="AN17" s="4">
        <v>-193</v>
      </c>
    </row>
    <row r="18" spans="3:40" x14ac:dyDescent="0.5">
      <c r="C18" s="3">
        <v>1890</v>
      </c>
      <c r="D18" s="4">
        <v>-46</v>
      </c>
      <c r="E18" s="4">
        <v>-48</v>
      </c>
      <c r="F18" s="4">
        <v>-41</v>
      </c>
      <c r="G18" s="4">
        <v>-38</v>
      </c>
      <c r="H18" s="4">
        <v>-48</v>
      </c>
      <c r="I18" s="4">
        <v>-27</v>
      </c>
      <c r="J18" s="4">
        <v>-29</v>
      </c>
      <c r="K18" s="4">
        <v>-35</v>
      </c>
      <c r="L18" s="4">
        <v>-36</v>
      </c>
      <c r="M18" s="4">
        <v>-23</v>
      </c>
      <c r="N18" s="4">
        <v>-37</v>
      </c>
      <c r="O18" s="4">
        <v>-29</v>
      </c>
      <c r="P18" s="4">
        <v>-41</v>
      </c>
      <c r="Q18" s="4">
        <v>-36</v>
      </c>
      <c r="R18" s="4">
        <v>-36</v>
      </c>
      <c r="S18" s="4">
        <v>-30</v>
      </c>
      <c r="T18" s="4">
        <v>-42</v>
      </c>
      <c r="U18" s="4">
        <v>-32</v>
      </c>
      <c r="V18" s="4">
        <v>-654</v>
      </c>
      <c r="Y18" s="3">
        <v>1890</v>
      </c>
      <c r="Z18" s="4">
        <v>-36</v>
      </c>
      <c r="AA18" s="4">
        <v>-30</v>
      </c>
      <c r="AB18" s="4">
        <v>-44</v>
      </c>
      <c r="AC18" s="4">
        <v>-39</v>
      </c>
      <c r="AD18" s="4">
        <v>-43</v>
      </c>
      <c r="AE18" s="4">
        <v>-41</v>
      </c>
      <c r="AF18" s="4">
        <v>-16</v>
      </c>
      <c r="AG18" s="4">
        <v>-127</v>
      </c>
      <c r="AH18" s="4">
        <v>-40</v>
      </c>
      <c r="AI18" s="4">
        <v>-26</v>
      </c>
      <c r="AJ18" s="4">
        <v>4</v>
      </c>
      <c r="AK18" s="4">
        <v>-35</v>
      </c>
      <c r="AL18" s="4">
        <v>-40</v>
      </c>
      <c r="AM18" s="4">
        <v>-33</v>
      </c>
      <c r="AN18" s="4">
        <v>-546</v>
      </c>
    </row>
    <row r="19" spans="3:40" x14ac:dyDescent="0.5">
      <c r="C19" s="3">
        <v>1891</v>
      </c>
      <c r="D19" s="4">
        <v>-45</v>
      </c>
      <c r="E19" s="4">
        <v>-48</v>
      </c>
      <c r="F19" s="4">
        <v>-14</v>
      </c>
      <c r="G19" s="4">
        <v>-25</v>
      </c>
      <c r="H19" s="4">
        <v>-17</v>
      </c>
      <c r="I19" s="4">
        <v>-21</v>
      </c>
      <c r="J19" s="4">
        <v>-21</v>
      </c>
      <c r="K19" s="4">
        <v>-20</v>
      </c>
      <c r="L19" s="4">
        <v>-13</v>
      </c>
      <c r="M19" s="4">
        <v>-23</v>
      </c>
      <c r="N19" s="4">
        <v>-36</v>
      </c>
      <c r="O19" s="4">
        <v>1</v>
      </c>
      <c r="P19" s="4">
        <v>-41</v>
      </c>
      <c r="Q19" s="4">
        <v>-26</v>
      </c>
      <c r="R19" s="4">
        <v>-23</v>
      </c>
      <c r="S19" s="4">
        <v>-21</v>
      </c>
      <c r="T19" s="4">
        <v>-19</v>
      </c>
      <c r="U19" s="4">
        <v>-24</v>
      </c>
      <c r="V19" s="4">
        <v>-436</v>
      </c>
      <c r="Y19" s="3">
        <v>1891</v>
      </c>
      <c r="Z19" s="4">
        <v>-23</v>
      </c>
      <c r="AA19" s="4">
        <v>-27</v>
      </c>
      <c r="AB19" s="4">
        <v>-33</v>
      </c>
      <c r="AC19" s="4">
        <v>-16</v>
      </c>
      <c r="AD19" s="4">
        <v>-24</v>
      </c>
      <c r="AE19" s="4">
        <v>-17</v>
      </c>
      <c r="AF19" s="4">
        <v>-20</v>
      </c>
      <c r="AG19" s="4">
        <v>-118</v>
      </c>
      <c r="AH19" s="4">
        <v>-28</v>
      </c>
      <c r="AI19" s="4">
        <v>-23</v>
      </c>
      <c r="AJ19" s="4">
        <v>9</v>
      </c>
      <c r="AK19" s="4">
        <v>-8</v>
      </c>
      <c r="AL19" s="4">
        <v>-23</v>
      </c>
      <c r="AM19" s="4">
        <v>-24</v>
      </c>
      <c r="AN19" s="4">
        <v>-375</v>
      </c>
    </row>
    <row r="20" spans="3:40" x14ac:dyDescent="0.5">
      <c r="C20" s="3">
        <v>1892</v>
      </c>
      <c r="D20" s="4">
        <v>-24</v>
      </c>
      <c r="E20" s="4">
        <v>-14</v>
      </c>
      <c r="F20" s="4">
        <v>-35</v>
      </c>
      <c r="G20" s="4">
        <v>-34</v>
      </c>
      <c r="H20" s="4">
        <v>-24</v>
      </c>
      <c r="I20" s="4">
        <v>-18</v>
      </c>
      <c r="J20" s="4">
        <v>-26</v>
      </c>
      <c r="K20" s="4">
        <v>-18</v>
      </c>
      <c r="L20" s="4">
        <v>-24</v>
      </c>
      <c r="M20" s="4">
        <v>-15</v>
      </c>
      <c r="N20" s="4">
        <v>-49</v>
      </c>
      <c r="O20" s="4">
        <v>-27</v>
      </c>
      <c r="P20" s="4">
        <v>-12</v>
      </c>
      <c r="Q20" s="4">
        <v>-23</v>
      </c>
      <c r="R20" s="4">
        <v>-26</v>
      </c>
      <c r="S20" s="4">
        <v>-21</v>
      </c>
      <c r="T20" s="4">
        <v>-31</v>
      </c>
      <c r="U20" s="4">
        <v>-29</v>
      </c>
      <c r="V20" s="4">
        <v>-450</v>
      </c>
      <c r="Y20" s="3">
        <v>1892</v>
      </c>
      <c r="Z20" s="4">
        <v>-26</v>
      </c>
      <c r="AA20" s="4">
        <v>-12</v>
      </c>
      <c r="AB20" s="4">
        <v>-29</v>
      </c>
      <c r="AC20" s="4">
        <v>-30</v>
      </c>
      <c r="AD20" s="4">
        <v>-29</v>
      </c>
      <c r="AE20" s="4">
        <v>-30</v>
      </c>
      <c r="AF20" s="4">
        <v>-4</v>
      </c>
      <c r="AG20" s="4">
        <v>-119</v>
      </c>
      <c r="AH20" s="4">
        <v>-34</v>
      </c>
      <c r="AI20" s="4">
        <v>-16</v>
      </c>
      <c r="AJ20" s="4">
        <v>5</v>
      </c>
      <c r="AK20" s="4">
        <v>-32</v>
      </c>
      <c r="AL20" s="4">
        <v>-30</v>
      </c>
      <c r="AM20" s="4">
        <v>-21</v>
      </c>
      <c r="AN20" s="4">
        <v>-407</v>
      </c>
    </row>
    <row r="21" spans="3:40" x14ac:dyDescent="0.5">
      <c r="C21" s="3">
        <v>1893</v>
      </c>
      <c r="D21" s="4">
        <v>-67</v>
      </c>
      <c r="E21" s="4">
        <v>-50</v>
      </c>
      <c r="F21" s="4">
        <v>-23</v>
      </c>
      <c r="G21" s="4">
        <v>-32</v>
      </c>
      <c r="H21" s="4">
        <v>-34</v>
      </c>
      <c r="I21" s="4">
        <v>-22</v>
      </c>
      <c r="J21" s="4">
        <v>-12</v>
      </c>
      <c r="K21" s="4">
        <v>-22</v>
      </c>
      <c r="L21" s="4">
        <v>-17</v>
      </c>
      <c r="M21" s="4">
        <v>-15</v>
      </c>
      <c r="N21" s="4">
        <v>-16</v>
      </c>
      <c r="O21" s="4">
        <v>-36</v>
      </c>
      <c r="P21" s="4">
        <v>-48</v>
      </c>
      <c r="Q21" s="4">
        <v>-28</v>
      </c>
      <c r="R21" s="4">
        <v>-29</v>
      </c>
      <c r="S21" s="4">
        <v>-19</v>
      </c>
      <c r="T21" s="4">
        <v>-30</v>
      </c>
      <c r="U21" s="4">
        <v>-16</v>
      </c>
      <c r="V21" s="4">
        <v>-516</v>
      </c>
      <c r="Y21" s="3">
        <v>1893</v>
      </c>
      <c r="Z21" s="4">
        <v>-29</v>
      </c>
      <c r="AA21" s="4">
        <v>-30</v>
      </c>
      <c r="AB21" s="4">
        <v>-37</v>
      </c>
      <c r="AC21" s="4">
        <v>-40</v>
      </c>
      <c r="AD21" s="4">
        <v>-36</v>
      </c>
      <c r="AE21" s="4">
        <v>-35</v>
      </c>
      <c r="AF21" s="4">
        <v>3</v>
      </c>
      <c r="AG21" s="4">
        <v>-76</v>
      </c>
      <c r="AH21" s="4">
        <v>-22</v>
      </c>
      <c r="AI21" s="4">
        <v>-7</v>
      </c>
      <c r="AJ21" s="4">
        <v>2</v>
      </c>
      <c r="AK21" s="4">
        <v>-43</v>
      </c>
      <c r="AL21" s="4">
        <v>-39</v>
      </c>
      <c r="AM21" s="4">
        <v>-19</v>
      </c>
      <c r="AN21" s="4">
        <v>-408</v>
      </c>
    </row>
    <row r="22" spans="3:40" x14ac:dyDescent="0.5">
      <c r="C22" s="3">
        <v>1894</v>
      </c>
      <c r="D22" s="4">
        <v>-54</v>
      </c>
      <c r="E22" s="4">
        <v>-31</v>
      </c>
      <c r="F22" s="4">
        <v>-21</v>
      </c>
      <c r="G22" s="4">
        <v>-40</v>
      </c>
      <c r="H22" s="4">
        <v>-29</v>
      </c>
      <c r="I22" s="4">
        <v>-43</v>
      </c>
      <c r="J22" s="4">
        <v>-31</v>
      </c>
      <c r="K22" s="4">
        <v>-26</v>
      </c>
      <c r="L22" s="4">
        <v>-22</v>
      </c>
      <c r="M22" s="4">
        <v>-16</v>
      </c>
      <c r="N22" s="4">
        <v>-24</v>
      </c>
      <c r="O22" s="4">
        <v>-21</v>
      </c>
      <c r="P22" s="4">
        <v>-40</v>
      </c>
      <c r="Q22" s="4">
        <v>-31</v>
      </c>
      <c r="R22" s="4">
        <v>-30</v>
      </c>
      <c r="S22" s="4">
        <v>-33</v>
      </c>
      <c r="T22" s="4">
        <v>-30</v>
      </c>
      <c r="U22" s="4">
        <v>-21</v>
      </c>
      <c r="V22" s="4">
        <v>-543</v>
      </c>
      <c r="Y22" s="3">
        <v>1894</v>
      </c>
      <c r="Z22" s="4">
        <v>-30</v>
      </c>
      <c r="AA22" s="4">
        <v>-9</v>
      </c>
      <c r="AB22" s="4">
        <v>-26</v>
      </c>
      <c r="AC22" s="4">
        <v>-38</v>
      </c>
      <c r="AD22" s="4">
        <v>-23</v>
      </c>
      <c r="AE22" s="4">
        <v>-17</v>
      </c>
      <c r="AF22" s="4">
        <v>-16</v>
      </c>
      <c r="AG22" s="4">
        <v>-121</v>
      </c>
      <c r="AH22" s="4">
        <v>-32</v>
      </c>
      <c r="AI22" s="4">
        <v>-22</v>
      </c>
      <c r="AJ22" s="4">
        <v>-12</v>
      </c>
      <c r="AK22" s="4">
        <v>-53</v>
      </c>
      <c r="AL22" s="4">
        <v>-37</v>
      </c>
      <c r="AM22" s="4">
        <v>-23</v>
      </c>
      <c r="AN22" s="4">
        <v>-459</v>
      </c>
    </row>
    <row r="23" spans="3:40" x14ac:dyDescent="0.5">
      <c r="C23" s="3">
        <v>1895</v>
      </c>
      <c r="D23" s="4">
        <v>-43</v>
      </c>
      <c r="E23" s="4">
        <v>-42</v>
      </c>
      <c r="F23" s="4">
        <v>-29</v>
      </c>
      <c r="G23" s="4">
        <v>-22</v>
      </c>
      <c r="H23" s="4">
        <v>-23</v>
      </c>
      <c r="I23" s="4">
        <v>-24</v>
      </c>
      <c r="J23" s="4">
        <v>-16</v>
      </c>
      <c r="K23" s="4">
        <v>-15</v>
      </c>
      <c r="L23" s="4">
        <v>-1</v>
      </c>
      <c r="M23" s="4">
        <v>-10</v>
      </c>
      <c r="N23" s="4">
        <v>-15</v>
      </c>
      <c r="O23" s="4">
        <v>-11</v>
      </c>
      <c r="P23" s="4">
        <v>-35</v>
      </c>
      <c r="Q23" s="4">
        <v>-22</v>
      </c>
      <c r="R23" s="4">
        <v>-21</v>
      </c>
      <c r="S23" s="4">
        <v>-18</v>
      </c>
      <c r="T23" s="4">
        <v>-24</v>
      </c>
      <c r="U23" s="4">
        <v>-9</v>
      </c>
      <c r="V23" s="4">
        <v>-380</v>
      </c>
      <c r="Y23" s="3">
        <v>1895</v>
      </c>
      <c r="Z23" s="4">
        <v>-21</v>
      </c>
      <c r="AA23" s="4">
        <v>-18</v>
      </c>
      <c r="AB23" s="4">
        <v>-34</v>
      </c>
      <c r="AC23" s="4">
        <v>-13</v>
      </c>
      <c r="AD23" s="4">
        <v>-8</v>
      </c>
      <c r="AE23" s="4">
        <v>-38</v>
      </c>
      <c r="AF23" s="4">
        <v>-21</v>
      </c>
      <c r="AG23" s="4">
        <v>-86</v>
      </c>
      <c r="AH23" s="4">
        <v>-13</v>
      </c>
      <c r="AI23" s="4">
        <v>-19</v>
      </c>
      <c r="AJ23" s="4">
        <v>-1</v>
      </c>
      <c r="AK23" s="4">
        <v>-19</v>
      </c>
      <c r="AL23" s="4">
        <v>-28</v>
      </c>
      <c r="AM23" s="4">
        <v>-14</v>
      </c>
      <c r="AN23" s="4">
        <v>-333</v>
      </c>
    </row>
    <row r="24" spans="3:40" x14ac:dyDescent="0.5">
      <c r="C24" s="3">
        <v>1896</v>
      </c>
      <c r="D24" s="4">
        <v>-22</v>
      </c>
      <c r="E24" s="4">
        <v>-15</v>
      </c>
      <c r="F24" s="4">
        <v>-29</v>
      </c>
      <c r="G24" s="4">
        <v>-32</v>
      </c>
      <c r="H24" s="4">
        <v>-19</v>
      </c>
      <c r="I24" s="4">
        <v>-13</v>
      </c>
      <c r="J24" s="4">
        <v>-5</v>
      </c>
      <c r="K24" s="4">
        <v>-8</v>
      </c>
      <c r="L24" s="4">
        <v>-3</v>
      </c>
      <c r="M24" s="4">
        <v>6</v>
      </c>
      <c r="N24" s="4">
        <v>-15</v>
      </c>
      <c r="O24" s="4">
        <v>-11</v>
      </c>
      <c r="P24" s="4">
        <v>-16</v>
      </c>
      <c r="Q24" s="4">
        <v>-14</v>
      </c>
      <c r="R24" s="4">
        <v>-14</v>
      </c>
      <c r="S24" s="4">
        <v>-9</v>
      </c>
      <c r="T24" s="4">
        <v>-27</v>
      </c>
      <c r="U24" s="4">
        <v>-4</v>
      </c>
      <c r="V24" s="4">
        <v>-250</v>
      </c>
      <c r="Y24" s="3">
        <v>1896</v>
      </c>
      <c r="Z24" s="4">
        <v>-14</v>
      </c>
      <c r="AA24" s="4">
        <v>-12</v>
      </c>
      <c r="AB24" s="4">
        <v>-33</v>
      </c>
      <c r="AC24" s="4">
        <v>3</v>
      </c>
      <c r="AD24" s="4">
        <v>8</v>
      </c>
      <c r="AE24" s="4">
        <v>-34</v>
      </c>
      <c r="AF24" s="4">
        <v>-15</v>
      </c>
      <c r="AG24" s="4">
        <v>-113</v>
      </c>
      <c r="AH24" s="4">
        <v>-22</v>
      </c>
      <c r="AI24" s="4">
        <v>-18</v>
      </c>
      <c r="AJ24" s="4">
        <v>3</v>
      </c>
      <c r="AK24" s="4">
        <v>-2</v>
      </c>
      <c r="AL24" s="4">
        <v>-20</v>
      </c>
      <c r="AM24" s="4">
        <v>-8</v>
      </c>
      <c r="AN24" s="4">
        <v>-277</v>
      </c>
    </row>
    <row r="25" spans="3:40" x14ac:dyDescent="0.5">
      <c r="C25" s="3">
        <v>1897</v>
      </c>
      <c r="D25" s="4">
        <v>-22</v>
      </c>
      <c r="E25" s="4">
        <v>-19</v>
      </c>
      <c r="F25" s="4">
        <v>-13</v>
      </c>
      <c r="G25" s="4">
        <v>-1</v>
      </c>
      <c r="H25" s="4">
        <v>0</v>
      </c>
      <c r="I25" s="4">
        <v>-13</v>
      </c>
      <c r="J25" s="4">
        <v>-4</v>
      </c>
      <c r="K25" s="4">
        <v>-3</v>
      </c>
      <c r="L25" s="4">
        <v>-4</v>
      </c>
      <c r="M25" s="4">
        <v>-9</v>
      </c>
      <c r="N25" s="4">
        <v>-18</v>
      </c>
      <c r="O25" s="4">
        <v>-26</v>
      </c>
      <c r="P25" s="4">
        <v>-17</v>
      </c>
      <c r="Q25" s="4">
        <v>-10</v>
      </c>
      <c r="R25" s="4">
        <v>-11</v>
      </c>
      <c r="S25" s="4">
        <v>-7</v>
      </c>
      <c r="T25" s="4">
        <v>-5</v>
      </c>
      <c r="U25" s="4">
        <v>-10</v>
      </c>
      <c r="V25" s="4">
        <v>-192</v>
      </c>
      <c r="Y25" s="3">
        <v>1897</v>
      </c>
      <c r="Z25" s="4">
        <v>-11</v>
      </c>
      <c r="AA25" s="4">
        <v>-19</v>
      </c>
      <c r="AB25" s="4">
        <v>-30</v>
      </c>
      <c r="AC25" s="4">
        <v>16</v>
      </c>
      <c r="AD25" s="4">
        <v>18</v>
      </c>
      <c r="AE25" s="4">
        <v>-31</v>
      </c>
      <c r="AF25" s="4">
        <v>-21</v>
      </c>
      <c r="AG25" s="4">
        <v>-73</v>
      </c>
      <c r="AH25" s="4">
        <v>-37</v>
      </c>
      <c r="AI25" s="4">
        <v>-28</v>
      </c>
      <c r="AJ25" s="4">
        <v>5</v>
      </c>
      <c r="AK25" s="4">
        <v>13</v>
      </c>
      <c r="AL25" s="4">
        <v>-13</v>
      </c>
      <c r="AM25" s="4">
        <v>-9</v>
      </c>
      <c r="AN25" s="4">
        <v>-220</v>
      </c>
    </row>
    <row r="26" spans="3:40" x14ac:dyDescent="0.5">
      <c r="C26" s="3">
        <v>1898</v>
      </c>
      <c r="D26" s="4">
        <v>-7</v>
      </c>
      <c r="E26" s="4">
        <v>-33</v>
      </c>
      <c r="F26" s="4">
        <v>-56</v>
      </c>
      <c r="G26" s="4">
        <v>-34</v>
      </c>
      <c r="H26" s="4">
        <v>-36</v>
      </c>
      <c r="I26" s="4">
        <v>-21</v>
      </c>
      <c r="J26" s="4">
        <v>-23</v>
      </c>
      <c r="K26" s="4">
        <v>-23</v>
      </c>
      <c r="L26" s="4">
        <v>-20</v>
      </c>
      <c r="M26" s="4">
        <v>-33</v>
      </c>
      <c r="N26" s="4">
        <v>-35</v>
      </c>
      <c r="O26" s="4">
        <v>-21</v>
      </c>
      <c r="P26" s="4">
        <v>-22</v>
      </c>
      <c r="Q26" s="4">
        <v>-29</v>
      </c>
      <c r="R26" s="4">
        <v>-28</v>
      </c>
      <c r="S26" s="4">
        <v>-22</v>
      </c>
      <c r="T26" s="4">
        <v>-42</v>
      </c>
      <c r="U26" s="4">
        <v>-29</v>
      </c>
      <c r="V26" s="4">
        <v>-514</v>
      </c>
      <c r="Y26" s="3">
        <v>1898</v>
      </c>
      <c r="Z26" s="4">
        <v>-28</v>
      </c>
      <c r="AA26" s="4">
        <v>-21</v>
      </c>
      <c r="AB26" s="4">
        <v>-28</v>
      </c>
      <c r="AC26" s="4">
        <v>-29</v>
      </c>
      <c r="AD26" s="4">
        <v>-29</v>
      </c>
      <c r="AE26" s="4">
        <v>-2</v>
      </c>
      <c r="AF26" s="4">
        <v>-27</v>
      </c>
      <c r="AG26" s="4">
        <v>-121</v>
      </c>
      <c r="AH26" s="4">
        <v>-30</v>
      </c>
      <c r="AI26" s="4">
        <v>-29</v>
      </c>
      <c r="AJ26" s="4">
        <v>8</v>
      </c>
      <c r="AK26" s="4">
        <v>-28</v>
      </c>
      <c r="AL26" s="4">
        <v>-28</v>
      </c>
      <c r="AM26" s="4">
        <v>-29</v>
      </c>
      <c r="AN26" s="4">
        <v>-421</v>
      </c>
    </row>
    <row r="27" spans="3:40" x14ac:dyDescent="0.5">
      <c r="C27" s="3">
        <v>1899</v>
      </c>
      <c r="D27" s="4">
        <v>-17</v>
      </c>
      <c r="E27" s="4">
        <v>-39</v>
      </c>
      <c r="F27" s="4">
        <v>-35</v>
      </c>
      <c r="G27" s="4">
        <v>-21</v>
      </c>
      <c r="H27" s="4">
        <v>-20</v>
      </c>
      <c r="I27" s="4">
        <v>-26</v>
      </c>
      <c r="J27" s="4">
        <v>-13</v>
      </c>
      <c r="K27" s="4">
        <v>-4</v>
      </c>
      <c r="L27" s="4">
        <v>-2</v>
      </c>
      <c r="M27" s="4">
        <v>0</v>
      </c>
      <c r="N27" s="4">
        <v>12</v>
      </c>
      <c r="O27" s="4">
        <v>-26</v>
      </c>
      <c r="P27" s="4">
        <v>-26</v>
      </c>
      <c r="Q27" s="4">
        <v>-16</v>
      </c>
      <c r="R27" s="4">
        <v>-16</v>
      </c>
      <c r="S27" s="4">
        <v>-14</v>
      </c>
      <c r="T27" s="4">
        <v>-25</v>
      </c>
      <c r="U27" s="4">
        <v>3</v>
      </c>
      <c r="V27" s="4">
        <v>-285</v>
      </c>
      <c r="Y27" s="3">
        <v>1899</v>
      </c>
      <c r="Z27" s="4">
        <v>-16</v>
      </c>
      <c r="AA27" s="4">
        <v>-12</v>
      </c>
      <c r="AB27" s="4">
        <v>-18</v>
      </c>
      <c r="AC27" s="4">
        <v>-13</v>
      </c>
      <c r="AD27" s="4">
        <v>-10</v>
      </c>
      <c r="AE27" s="4">
        <v>4</v>
      </c>
      <c r="AF27" s="4">
        <v>-13</v>
      </c>
      <c r="AG27" s="4">
        <v>-99</v>
      </c>
      <c r="AH27" s="4">
        <v>-23</v>
      </c>
      <c r="AI27" s="4">
        <v>-17</v>
      </c>
      <c r="AJ27" s="4">
        <v>13</v>
      </c>
      <c r="AK27" s="4">
        <v>-16</v>
      </c>
      <c r="AL27" s="4">
        <v>-17</v>
      </c>
      <c r="AM27" s="4">
        <v>-15</v>
      </c>
      <c r="AN27" s="4">
        <v>-252</v>
      </c>
    </row>
    <row r="28" spans="3:40" x14ac:dyDescent="0.5">
      <c r="C28" s="3">
        <v>1900</v>
      </c>
      <c r="D28" s="4">
        <v>-39</v>
      </c>
      <c r="E28" s="4">
        <v>-6</v>
      </c>
      <c r="F28" s="4">
        <v>2</v>
      </c>
      <c r="G28" s="4">
        <v>-14</v>
      </c>
      <c r="H28" s="4">
        <v>-4</v>
      </c>
      <c r="I28" s="4">
        <v>-13</v>
      </c>
      <c r="J28" s="4">
        <v>-6</v>
      </c>
      <c r="K28" s="4">
        <v>-3</v>
      </c>
      <c r="L28" s="4">
        <v>2</v>
      </c>
      <c r="M28" s="4">
        <v>10</v>
      </c>
      <c r="N28" s="4">
        <v>-12</v>
      </c>
      <c r="O28" s="4">
        <v>-13</v>
      </c>
      <c r="P28" s="4">
        <v>-24</v>
      </c>
      <c r="Q28" s="4">
        <v>-9</v>
      </c>
      <c r="R28" s="4">
        <v>-8</v>
      </c>
      <c r="S28" s="4">
        <v>-7</v>
      </c>
      <c r="T28" s="4">
        <v>-5</v>
      </c>
      <c r="U28" s="4">
        <v>0</v>
      </c>
      <c r="V28" s="4">
        <v>-149</v>
      </c>
      <c r="Y28" s="3">
        <v>1900</v>
      </c>
      <c r="Z28" s="4">
        <v>-8</v>
      </c>
      <c r="AA28" s="4">
        <v>-8</v>
      </c>
      <c r="AB28" s="4">
        <v>-12</v>
      </c>
      <c r="AC28" s="4">
        <v>15</v>
      </c>
      <c r="AD28" s="4">
        <v>19</v>
      </c>
      <c r="AE28" s="4">
        <v>-3</v>
      </c>
      <c r="AF28" s="4">
        <v>-31</v>
      </c>
      <c r="AG28" s="4">
        <v>-50</v>
      </c>
      <c r="AH28" s="4">
        <v>-38</v>
      </c>
      <c r="AI28" s="4">
        <v>-34</v>
      </c>
      <c r="AJ28" s="4">
        <v>12</v>
      </c>
      <c r="AK28" s="4">
        <v>11</v>
      </c>
      <c r="AL28" s="4">
        <v>-3</v>
      </c>
      <c r="AM28" s="4">
        <v>-13</v>
      </c>
      <c r="AN28" s="4">
        <v>-143</v>
      </c>
    </row>
    <row r="29" spans="3:40" x14ac:dyDescent="0.5">
      <c r="C29" s="3">
        <v>1901</v>
      </c>
      <c r="D29" s="4">
        <v>-28</v>
      </c>
      <c r="E29" s="4">
        <v>-4</v>
      </c>
      <c r="F29" s="4">
        <v>6</v>
      </c>
      <c r="G29" s="4">
        <v>-5</v>
      </c>
      <c r="H29" s="4">
        <v>-17</v>
      </c>
      <c r="I29" s="4">
        <v>-9</v>
      </c>
      <c r="J29" s="4">
        <v>-7</v>
      </c>
      <c r="K29" s="4">
        <v>-11</v>
      </c>
      <c r="L29" s="4">
        <v>-16</v>
      </c>
      <c r="M29" s="4">
        <v>-27</v>
      </c>
      <c r="N29" s="4">
        <v>-15</v>
      </c>
      <c r="O29" s="4">
        <v>-28</v>
      </c>
      <c r="P29" s="4">
        <v>-15</v>
      </c>
      <c r="Q29" s="4">
        <v>-12</v>
      </c>
      <c r="R29" s="4">
        <v>-13</v>
      </c>
      <c r="S29" s="4">
        <v>-9</v>
      </c>
      <c r="T29" s="4">
        <v>-5</v>
      </c>
      <c r="U29" s="4">
        <v>-19</v>
      </c>
      <c r="V29" s="4">
        <v>-234</v>
      </c>
      <c r="Y29" s="3">
        <v>1901</v>
      </c>
      <c r="Z29" s="4">
        <v>-13</v>
      </c>
      <c r="AA29" s="4">
        <v>-9</v>
      </c>
      <c r="AB29" s="4">
        <v>-10</v>
      </c>
      <c r="AC29" s="4">
        <v>-5</v>
      </c>
      <c r="AD29" s="4">
        <v>-6</v>
      </c>
      <c r="AE29" s="4">
        <v>-1</v>
      </c>
      <c r="AF29" s="4">
        <v>-29</v>
      </c>
      <c r="AG29" s="4">
        <v>-41</v>
      </c>
      <c r="AH29" s="4">
        <v>-26</v>
      </c>
      <c r="AI29" s="4">
        <v>-28</v>
      </c>
      <c r="AJ29" s="4">
        <v>1</v>
      </c>
      <c r="AK29" s="4">
        <v>-3</v>
      </c>
      <c r="AL29" s="4">
        <v>-8</v>
      </c>
      <c r="AM29" s="4">
        <v>-19</v>
      </c>
      <c r="AN29" s="4">
        <v>-197</v>
      </c>
    </row>
    <row r="30" spans="3:40" x14ac:dyDescent="0.5">
      <c r="C30" s="3">
        <v>1902</v>
      </c>
      <c r="D30" s="4">
        <v>-18</v>
      </c>
      <c r="E30" s="4">
        <v>-2</v>
      </c>
      <c r="F30" s="4">
        <v>-28</v>
      </c>
      <c r="G30" s="4">
        <v>-26</v>
      </c>
      <c r="H30" s="4">
        <v>-29</v>
      </c>
      <c r="I30" s="4">
        <v>-33</v>
      </c>
      <c r="J30" s="4">
        <v>-25</v>
      </c>
      <c r="K30" s="4">
        <v>-27</v>
      </c>
      <c r="L30" s="4">
        <v>-20</v>
      </c>
      <c r="M30" s="4">
        <v>-26</v>
      </c>
      <c r="N30" s="4">
        <v>-35</v>
      </c>
      <c r="O30" s="4">
        <v>-45</v>
      </c>
      <c r="P30" s="4">
        <v>-16</v>
      </c>
      <c r="Q30" s="4">
        <v>-25</v>
      </c>
      <c r="R30" s="4">
        <v>-26</v>
      </c>
      <c r="S30" s="4">
        <v>-28</v>
      </c>
      <c r="T30" s="4">
        <v>-28</v>
      </c>
      <c r="U30" s="4">
        <v>-27</v>
      </c>
      <c r="V30" s="4">
        <v>-464</v>
      </c>
      <c r="Y30" s="3">
        <v>1902</v>
      </c>
      <c r="Z30" s="4">
        <v>-26</v>
      </c>
      <c r="AA30" s="4">
        <v>-26</v>
      </c>
      <c r="AB30" s="4">
        <v>-47</v>
      </c>
      <c r="AC30" s="4">
        <v>-5</v>
      </c>
      <c r="AD30" s="4">
        <v>-8</v>
      </c>
      <c r="AE30" s="4">
        <v>-40</v>
      </c>
      <c r="AF30" s="4">
        <v>-27</v>
      </c>
      <c r="AG30" s="4">
        <v>-145</v>
      </c>
      <c r="AH30" s="4">
        <v>-42</v>
      </c>
      <c r="AI30" s="4">
        <v>-33</v>
      </c>
      <c r="AJ30" s="4">
        <v>6</v>
      </c>
      <c r="AK30" s="4">
        <v>-3</v>
      </c>
      <c r="AL30" s="4">
        <v>-29</v>
      </c>
      <c r="AM30" s="4">
        <v>-23</v>
      </c>
      <c r="AN30" s="4">
        <v>-448</v>
      </c>
    </row>
    <row r="31" spans="3:40" x14ac:dyDescent="0.5">
      <c r="C31" s="3">
        <v>1903</v>
      </c>
      <c r="D31" s="4">
        <v>-27</v>
      </c>
      <c r="E31" s="4">
        <v>-5</v>
      </c>
      <c r="F31" s="4">
        <v>-22</v>
      </c>
      <c r="G31" s="4">
        <v>-39</v>
      </c>
      <c r="H31" s="4">
        <v>-41</v>
      </c>
      <c r="I31" s="4">
        <v>-43</v>
      </c>
      <c r="J31" s="4">
        <v>-29</v>
      </c>
      <c r="K31" s="4">
        <v>-43</v>
      </c>
      <c r="L31" s="4">
        <v>-42</v>
      </c>
      <c r="M31" s="4">
        <v>-41</v>
      </c>
      <c r="N31" s="4">
        <v>-38</v>
      </c>
      <c r="O31" s="4">
        <v>-46</v>
      </c>
      <c r="P31" s="4">
        <v>-25</v>
      </c>
      <c r="Q31" s="4">
        <v>-34</v>
      </c>
      <c r="R31" s="4">
        <v>-35</v>
      </c>
      <c r="S31" s="4">
        <v>-38</v>
      </c>
      <c r="T31" s="4">
        <v>-34</v>
      </c>
      <c r="U31" s="4">
        <v>-40</v>
      </c>
      <c r="V31" s="4">
        <v>-622</v>
      </c>
      <c r="Y31" s="3">
        <v>1903</v>
      </c>
      <c r="Z31" s="4">
        <v>-35</v>
      </c>
      <c r="AA31" s="4">
        <v>-46</v>
      </c>
      <c r="AB31" s="4">
        <v>-39</v>
      </c>
      <c r="AC31" s="4">
        <v>-32</v>
      </c>
      <c r="AD31" s="4">
        <v>-37</v>
      </c>
      <c r="AE31" s="4">
        <v>-30</v>
      </c>
      <c r="AF31" s="4">
        <v>-37</v>
      </c>
      <c r="AG31" s="4">
        <v>-37</v>
      </c>
      <c r="AH31" s="4">
        <v>-25</v>
      </c>
      <c r="AI31" s="4">
        <v>-33</v>
      </c>
      <c r="AJ31" s="4">
        <v>-43</v>
      </c>
      <c r="AK31" s="4">
        <v>-27</v>
      </c>
      <c r="AL31" s="4">
        <v>-35</v>
      </c>
      <c r="AM31" s="4">
        <v>-35</v>
      </c>
      <c r="AN31" s="4">
        <v>-491</v>
      </c>
    </row>
    <row r="32" spans="3:40" x14ac:dyDescent="0.5">
      <c r="C32" s="3">
        <v>1904</v>
      </c>
      <c r="D32" s="4">
        <v>-63</v>
      </c>
      <c r="E32" s="4">
        <v>-54</v>
      </c>
      <c r="F32" s="4">
        <v>-45</v>
      </c>
      <c r="G32" s="4">
        <v>-50</v>
      </c>
      <c r="H32" s="4">
        <v>-50</v>
      </c>
      <c r="I32" s="4">
        <v>-49</v>
      </c>
      <c r="J32" s="4">
        <v>-47</v>
      </c>
      <c r="K32" s="4">
        <v>-42</v>
      </c>
      <c r="L32" s="4">
        <v>-46</v>
      </c>
      <c r="M32" s="4">
        <v>-34</v>
      </c>
      <c r="N32" s="4">
        <v>-16</v>
      </c>
      <c r="O32" s="4">
        <v>-28</v>
      </c>
      <c r="P32" s="4">
        <v>-54</v>
      </c>
      <c r="Q32" s="4">
        <v>-45</v>
      </c>
      <c r="R32" s="4">
        <v>-44</v>
      </c>
      <c r="S32" s="4">
        <v>-46</v>
      </c>
      <c r="T32" s="4">
        <v>-48</v>
      </c>
      <c r="U32" s="4">
        <v>-32</v>
      </c>
      <c r="V32" s="4">
        <v>-793</v>
      </c>
      <c r="Y32" s="3">
        <v>1904</v>
      </c>
      <c r="Z32" s="4">
        <v>-44</v>
      </c>
      <c r="AA32" s="4">
        <v>-47</v>
      </c>
      <c r="AB32" s="4">
        <v>-46</v>
      </c>
      <c r="AC32" s="4">
        <v>-46</v>
      </c>
      <c r="AD32" s="4">
        <v>-48</v>
      </c>
      <c r="AE32" s="4">
        <v>-53</v>
      </c>
      <c r="AF32" s="4">
        <v>-36</v>
      </c>
      <c r="AG32" s="4">
        <v>-23</v>
      </c>
      <c r="AH32" s="4">
        <v>-38</v>
      </c>
      <c r="AI32" s="4">
        <v>-38</v>
      </c>
      <c r="AJ32" s="4">
        <v>-108</v>
      </c>
      <c r="AK32" s="4">
        <v>-45</v>
      </c>
      <c r="AL32" s="4">
        <v>-45</v>
      </c>
      <c r="AM32" s="4">
        <v>-42</v>
      </c>
      <c r="AN32" s="4">
        <v>-659</v>
      </c>
    </row>
    <row r="33" spans="3:40" x14ac:dyDescent="0.5">
      <c r="C33" s="3">
        <v>1905</v>
      </c>
      <c r="D33" s="4">
        <v>-37</v>
      </c>
      <c r="E33" s="4">
        <v>-58</v>
      </c>
      <c r="F33" s="4">
        <v>-24</v>
      </c>
      <c r="G33" s="4">
        <v>-36</v>
      </c>
      <c r="H33" s="4">
        <v>-33</v>
      </c>
      <c r="I33" s="4">
        <v>-30</v>
      </c>
      <c r="J33" s="4">
        <v>-24</v>
      </c>
      <c r="K33" s="4">
        <v>-20</v>
      </c>
      <c r="L33" s="4">
        <v>-14</v>
      </c>
      <c r="M33" s="4">
        <v>-22</v>
      </c>
      <c r="N33" s="4">
        <v>-7</v>
      </c>
      <c r="O33" s="4">
        <v>-20</v>
      </c>
      <c r="P33" s="4">
        <v>-41</v>
      </c>
      <c r="Q33" s="4">
        <v>-28</v>
      </c>
      <c r="R33" s="4">
        <v>-27</v>
      </c>
      <c r="S33" s="4">
        <v>-24</v>
      </c>
      <c r="T33" s="4">
        <v>-31</v>
      </c>
      <c r="U33" s="4">
        <v>-14</v>
      </c>
      <c r="V33" s="4">
        <v>-490</v>
      </c>
      <c r="Y33" s="3">
        <v>1905</v>
      </c>
      <c r="Z33" s="4">
        <v>-27</v>
      </c>
      <c r="AA33" s="4">
        <v>-57</v>
      </c>
      <c r="AB33" s="4">
        <v>-37</v>
      </c>
      <c r="AC33" s="4">
        <v>-13</v>
      </c>
      <c r="AD33" s="4">
        <v>-11</v>
      </c>
      <c r="AE33" s="4">
        <v>-16</v>
      </c>
      <c r="AF33" s="4">
        <v>-37</v>
      </c>
      <c r="AG33" s="4">
        <v>-12</v>
      </c>
      <c r="AH33" s="4">
        <v>-34</v>
      </c>
      <c r="AI33" s="4">
        <v>-36</v>
      </c>
      <c r="AJ33" s="4">
        <v>-20</v>
      </c>
      <c r="AK33" s="4">
        <v>-15</v>
      </c>
      <c r="AL33" s="4">
        <v>-28</v>
      </c>
      <c r="AM33" s="4">
        <v>-26</v>
      </c>
      <c r="AN33" s="4">
        <v>-369</v>
      </c>
    </row>
    <row r="34" spans="3:40" x14ac:dyDescent="0.5">
      <c r="C34" s="3">
        <v>1906</v>
      </c>
      <c r="D34" s="4">
        <v>-29</v>
      </c>
      <c r="E34" s="4">
        <v>-32</v>
      </c>
      <c r="F34" s="4">
        <v>-14</v>
      </c>
      <c r="G34" s="4">
        <v>-2</v>
      </c>
      <c r="H34" s="4">
        <v>-20</v>
      </c>
      <c r="I34" s="4">
        <v>-20</v>
      </c>
      <c r="J34" s="4">
        <v>-25</v>
      </c>
      <c r="K34" s="4">
        <v>-18</v>
      </c>
      <c r="L34" s="4">
        <v>-24</v>
      </c>
      <c r="M34" s="4">
        <v>-20</v>
      </c>
      <c r="N34" s="4">
        <v>-38</v>
      </c>
      <c r="O34" s="4">
        <v>-16</v>
      </c>
      <c r="P34" s="4">
        <v>-27</v>
      </c>
      <c r="Q34" s="4">
        <v>-22</v>
      </c>
      <c r="R34" s="4">
        <v>-21</v>
      </c>
      <c r="S34" s="4">
        <v>-21</v>
      </c>
      <c r="T34" s="4">
        <v>-12</v>
      </c>
      <c r="U34" s="4">
        <v>-27</v>
      </c>
      <c r="V34" s="4">
        <v>-388</v>
      </c>
      <c r="Y34" s="3">
        <v>1906</v>
      </c>
      <c r="Z34" s="4">
        <v>-21</v>
      </c>
      <c r="AA34" s="4">
        <v>-32</v>
      </c>
      <c r="AB34" s="4">
        <v>-19</v>
      </c>
      <c r="AC34" s="4">
        <v>-22</v>
      </c>
      <c r="AD34" s="4">
        <v>-21</v>
      </c>
      <c r="AE34" s="4">
        <v>4</v>
      </c>
      <c r="AF34" s="4">
        <v>-23</v>
      </c>
      <c r="AG34" s="4">
        <v>-29</v>
      </c>
      <c r="AH34" s="4">
        <v>-22</v>
      </c>
      <c r="AI34" s="4">
        <v>-24</v>
      </c>
      <c r="AJ34" s="4">
        <v>-49</v>
      </c>
      <c r="AK34" s="4">
        <v>-22</v>
      </c>
      <c r="AL34" s="4">
        <v>-20</v>
      </c>
      <c r="AM34" s="4">
        <v>-23</v>
      </c>
      <c r="AN34" s="4">
        <v>-323</v>
      </c>
    </row>
    <row r="35" spans="3:40" x14ac:dyDescent="0.5">
      <c r="C35" s="3">
        <v>1907</v>
      </c>
      <c r="D35" s="4">
        <v>-43</v>
      </c>
      <c r="E35" s="4">
        <v>-50</v>
      </c>
      <c r="F35" s="4">
        <v>-24</v>
      </c>
      <c r="G35" s="4">
        <v>-40</v>
      </c>
      <c r="H35" s="4">
        <v>-45</v>
      </c>
      <c r="I35" s="4">
        <v>-42</v>
      </c>
      <c r="J35" s="4">
        <v>-34</v>
      </c>
      <c r="K35" s="4">
        <v>-36</v>
      </c>
      <c r="L35" s="4">
        <v>-31</v>
      </c>
      <c r="M35" s="4">
        <v>-23</v>
      </c>
      <c r="N35" s="4">
        <v>-50</v>
      </c>
      <c r="O35" s="4">
        <v>-49</v>
      </c>
      <c r="P35" s="4">
        <v>-36</v>
      </c>
      <c r="Q35" s="4">
        <v>-36</v>
      </c>
      <c r="R35" s="4">
        <v>-39</v>
      </c>
      <c r="S35" s="4">
        <v>-37</v>
      </c>
      <c r="T35" s="4">
        <v>-36</v>
      </c>
      <c r="U35" s="4">
        <v>-35</v>
      </c>
      <c r="V35" s="4">
        <v>-686</v>
      </c>
      <c r="Y35" s="3">
        <v>1907</v>
      </c>
      <c r="Z35" s="4">
        <v>-39</v>
      </c>
      <c r="AA35" s="4">
        <v>-44</v>
      </c>
      <c r="AB35" s="4">
        <v>-56</v>
      </c>
      <c r="AC35" s="4">
        <v>-34</v>
      </c>
      <c r="AD35" s="4">
        <v>-36</v>
      </c>
      <c r="AE35" s="4">
        <v>-69</v>
      </c>
      <c r="AF35" s="4">
        <v>-25</v>
      </c>
      <c r="AG35" s="4">
        <v>-68</v>
      </c>
      <c r="AH35" s="4">
        <v>-31</v>
      </c>
      <c r="AI35" s="4">
        <v>-28</v>
      </c>
      <c r="AJ35" s="4">
        <v>-101</v>
      </c>
      <c r="AK35" s="4">
        <v>-33</v>
      </c>
      <c r="AL35" s="4">
        <v>-46</v>
      </c>
      <c r="AM35" s="4">
        <v>-31</v>
      </c>
      <c r="AN35" s="4">
        <v>-641</v>
      </c>
    </row>
    <row r="36" spans="3:40" x14ac:dyDescent="0.5">
      <c r="C36" s="3">
        <v>1908</v>
      </c>
      <c r="D36" s="4">
        <v>-44</v>
      </c>
      <c r="E36" s="4">
        <v>-35</v>
      </c>
      <c r="F36" s="4">
        <v>-57</v>
      </c>
      <c r="G36" s="4">
        <v>-45</v>
      </c>
      <c r="H36" s="4">
        <v>-39</v>
      </c>
      <c r="I36" s="4">
        <v>-37</v>
      </c>
      <c r="J36" s="4">
        <v>-33</v>
      </c>
      <c r="K36" s="4">
        <v>-44</v>
      </c>
      <c r="L36" s="4">
        <v>-32</v>
      </c>
      <c r="M36" s="4">
        <v>-42</v>
      </c>
      <c r="N36" s="4">
        <v>-50</v>
      </c>
      <c r="O36" s="4">
        <v>-49</v>
      </c>
      <c r="P36" s="4">
        <v>-43</v>
      </c>
      <c r="Q36" s="4">
        <v>-42</v>
      </c>
      <c r="R36" s="4">
        <v>-42</v>
      </c>
      <c r="S36" s="4">
        <v>-38</v>
      </c>
      <c r="T36" s="4">
        <v>-47</v>
      </c>
      <c r="U36" s="4">
        <v>-41</v>
      </c>
      <c r="V36" s="4">
        <v>-760</v>
      </c>
      <c r="Y36" s="3">
        <v>1908</v>
      </c>
      <c r="Z36" s="4">
        <v>-42</v>
      </c>
      <c r="AA36" s="4">
        <v>-45</v>
      </c>
      <c r="AB36" s="4">
        <v>-46</v>
      </c>
      <c r="AC36" s="4">
        <v>-47</v>
      </c>
      <c r="AD36" s="4">
        <v>-49</v>
      </c>
      <c r="AE36" s="4">
        <v>-50</v>
      </c>
      <c r="AF36" s="4">
        <v>-31</v>
      </c>
      <c r="AG36" s="4">
        <v>-39</v>
      </c>
      <c r="AH36" s="4">
        <v>-38</v>
      </c>
      <c r="AI36" s="4">
        <v>-33</v>
      </c>
      <c r="AJ36" s="4">
        <v>82</v>
      </c>
      <c r="AK36" s="4">
        <v>-45</v>
      </c>
      <c r="AL36" s="4">
        <v>-45</v>
      </c>
      <c r="AM36" s="4">
        <v>-39</v>
      </c>
      <c r="AN36" s="4">
        <v>-467</v>
      </c>
    </row>
    <row r="37" spans="3:40" x14ac:dyDescent="0.5">
      <c r="C37" s="3">
        <v>1909</v>
      </c>
      <c r="D37" s="4">
        <v>-69</v>
      </c>
      <c r="E37" s="4">
        <v>-46</v>
      </c>
      <c r="F37" s="4">
        <v>-51</v>
      </c>
      <c r="G37" s="4">
        <v>-59</v>
      </c>
      <c r="H37" s="4">
        <v>-54</v>
      </c>
      <c r="I37" s="4">
        <v>-52</v>
      </c>
      <c r="J37" s="4">
        <v>-42</v>
      </c>
      <c r="K37" s="4">
        <v>-30</v>
      </c>
      <c r="L37" s="4">
        <v>-37</v>
      </c>
      <c r="M37" s="4">
        <v>-39</v>
      </c>
      <c r="N37" s="4">
        <v>-32</v>
      </c>
      <c r="O37" s="4">
        <v>-53</v>
      </c>
      <c r="P37" s="4">
        <v>-55</v>
      </c>
      <c r="Q37" s="4">
        <v>-47</v>
      </c>
      <c r="R37" s="4">
        <v>-47</v>
      </c>
      <c r="S37" s="4">
        <v>-41</v>
      </c>
      <c r="T37" s="4">
        <v>-55</v>
      </c>
      <c r="U37" s="4">
        <v>-36</v>
      </c>
      <c r="V37" s="4">
        <v>-845</v>
      </c>
      <c r="Y37" s="3">
        <v>1909</v>
      </c>
      <c r="Z37" s="4">
        <v>-47</v>
      </c>
      <c r="AA37" s="4">
        <v>-40</v>
      </c>
      <c r="AB37" s="4">
        <v>-47</v>
      </c>
      <c r="AC37" s="4">
        <v>-53</v>
      </c>
      <c r="AD37" s="4">
        <v>-55</v>
      </c>
      <c r="AE37" s="4">
        <v>-49</v>
      </c>
      <c r="AF37" s="4">
        <v>-38</v>
      </c>
      <c r="AG37" s="4">
        <v>-72</v>
      </c>
      <c r="AH37" s="4">
        <v>-41</v>
      </c>
      <c r="AI37" s="4">
        <v>-40</v>
      </c>
      <c r="AJ37" s="4">
        <v>-32</v>
      </c>
      <c r="AK37" s="4">
        <v>-50</v>
      </c>
      <c r="AL37" s="4">
        <v>-48</v>
      </c>
      <c r="AM37" s="4">
        <v>-46</v>
      </c>
      <c r="AN37" s="4">
        <v>-658</v>
      </c>
    </row>
    <row r="38" spans="3:40" x14ac:dyDescent="0.5">
      <c r="C38" s="3">
        <v>1910</v>
      </c>
      <c r="D38" s="4">
        <v>-44</v>
      </c>
      <c r="E38" s="4">
        <v>-43</v>
      </c>
      <c r="F38" s="4">
        <v>-47</v>
      </c>
      <c r="G38" s="4">
        <v>-38</v>
      </c>
      <c r="H38" s="4">
        <v>-33</v>
      </c>
      <c r="I38" s="4">
        <v>-36</v>
      </c>
      <c r="J38" s="4">
        <v>-31</v>
      </c>
      <c r="K38" s="4">
        <v>-33</v>
      </c>
      <c r="L38" s="4">
        <v>-36</v>
      </c>
      <c r="M38" s="4">
        <v>-38</v>
      </c>
      <c r="N38" s="4">
        <v>-55</v>
      </c>
      <c r="O38" s="4">
        <v>-68</v>
      </c>
      <c r="P38" s="4">
        <v>-47</v>
      </c>
      <c r="Q38" s="4">
        <v>-41</v>
      </c>
      <c r="R38" s="4">
        <v>-42</v>
      </c>
      <c r="S38" s="4">
        <v>-33</v>
      </c>
      <c r="T38" s="4">
        <v>-39</v>
      </c>
      <c r="U38" s="4">
        <v>-43</v>
      </c>
      <c r="V38" s="4">
        <v>-747</v>
      </c>
      <c r="Y38" s="3">
        <v>1910</v>
      </c>
      <c r="Z38" s="4">
        <v>-42</v>
      </c>
      <c r="AA38" s="4">
        <v>-44</v>
      </c>
      <c r="AB38" s="4">
        <v>-36</v>
      </c>
      <c r="AC38" s="4">
        <v>-54</v>
      </c>
      <c r="AD38" s="4">
        <v>-54</v>
      </c>
      <c r="AE38" s="4">
        <v>-13</v>
      </c>
      <c r="AF38" s="4">
        <v>-32</v>
      </c>
      <c r="AG38" s="4">
        <v>-62</v>
      </c>
      <c r="AH38" s="4">
        <v>-32</v>
      </c>
      <c r="AI38" s="4">
        <v>-32</v>
      </c>
      <c r="AJ38" s="4">
        <v>43</v>
      </c>
      <c r="AK38" s="4">
        <v>-54</v>
      </c>
      <c r="AL38" s="4">
        <v>-43</v>
      </c>
      <c r="AM38" s="4">
        <v>-41</v>
      </c>
      <c r="AN38" s="4">
        <v>-496</v>
      </c>
    </row>
    <row r="39" spans="3:40" x14ac:dyDescent="0.5">
      <c r="C39" s="3">
        <v>1911</v>
      </c>
      <c r="D39" s="4">
        <v>-63</v>
      </c>
      <c r="E39" s="4">
        <v>-60</v>
      </c>
      <c r="F39" s="4">
        <v>-63</v>
      </c>
      <c r="G39" s="4">
        <v>-55</v>
      </c>
      <c r="H39" s="4">
        <v>-52</v>
      </c>
      <c r="I39" s="4">
        <v>-47</v>
      </c>
      <c r="J39" s="4">
        <v>-40</v>
      </c>
      <c r="K39" s="4">
        <v>-42</v>
      </c>
      <c r="L39" s="4">
        <v>-38</v>
      </c>
      <c r="M39" s="4">
        <v>-25</v>
      </c>
      <c r="N39" s="4">
        <v>-19</v>
      </c>
      <c r="O39" s="4">
        <v>-24</v>
      </c>
      <c r="P39" s="4">
        <v>-63</v>
      </c>
      <c r="Q39" s="4">
        <v>-48</v>
      </c>
      <c r="R39" s="4">
        <v>-44</v>
      </c>
      <c r="S39" s="4">
        <v>-43</v>
      </c>
      <c r="T39" s="4">
        <v>-56</v>
      </c>
      <c r="U39" s="4">
        <v>-28</v>
      </c>
      <c r="V39" s="4">
        <v>-810</v>
      </c>
      <c r="Y39" s="3">
        <v>1911</v>
      </c>
      <c r="Z39" s="4">
        <v>-44</v>
      </c>
      <c r="AA39" s="4">
        <v>-43</v>
      </c>
      <c r="AB39" s="4">
        <v>-37</v>
      </c>
      <c r="AC39" s="4">
        <v>-47</v>
      </c>
      <c r="AD39" s="4">
        <v>-47</v>
      </c>
      <c r="AE39" s="4">
        <v>-36</v>
      </c>
      <c r="AF39" s="4">
        <v>-43</v>
      </c>
      <c r="AG39" s="4">
        <v>-24</v>
      </c>
      <c r="AH39" s="4">
        <v>-53</v>
      </c>
      <c r="AI39" s="4">
        <v>-47</v>
      </c>
      <c r="AJ39" s="4">
        <v>31</v>
      </c>
      <c r="AK39" s="4">
        <v>-47</v>
      </c>
      <c r="AL39" s="4">
        <v>-41</v>
      </c>
      <c r="AM39" s="4">
        <v>-47</v>
      </c>
      <c r="AN39" s="4">
        <v>-525</v>
      </c>
    </row>
    <row r="40" spans="3:40" x14ac:dyDescent="0.5">
      <c r="C40" s="3">
        <v>1912</v>
      </c>
      <c r="D40" s="4">
        <v>-27</v>
      </c>
      <c r="E40" s="4">
        <v>-14</v>
      </c>
      <c r="F40" s="4">
        <v>-37</v>
      </c>
      <c r="G40" s="4">
        <v>-21</v>
      </c>
      <c r="H40" s="4">
        <v>-20</v>
      </c>
      <c r="I40" s="4">
        <v>-26</v>
      </c>
      <c r="J40" s="4">
        <v>-40</v>
      </c>
      <c r="K40" s="4">
        <v>-51</v>
      </c>
      <c r="L40" s="4">
        <v>-47</v>
      </c>
      <c r="M40" s="4">
        <v>-55</v>
      </c>
      <c r="N40" s="4">
        <v>-37</v>
      </c>
      <c r="O40" s="4">
        <v>-40</v>
      </c>
      <c r="P40" s="4">
        <v>-22</v>
      </c>
      <c r="Q40" s="4">
        <v>-33</v>
      </c>
      <c r="R40" s="4">
        <v>-35</v>
      </c>
      <c r="S40" s="4">
        <v>-39</v>
      </c>
      <c r="T40" s="4">
        <v>-26</v>
      </c>
      <c r="U40" s="4">
        <v>-47</v>
      </c>
      <c r="V40" s="4">
        <v>-617</v>
      </c>
      <c r="Y40" s="3">
        <v>1912</v>
      </c>
      <c r="Z40" s="4">
        <v>-35</v>
      </c>
      <c r="AA40" s="4">
        <v>-48</v>
      </c>
      <c r="AB40" s="4">
        <v>-57</v>
      </c>
      <c r="AC40" s="4">
        <v>-22</v>
      </c>
      <c r="AD40" s="4">
        <v>-11</v>
      </c>
      <c r="AE40" s="4">
        <v>-70</v>
      </c>
      <c r="AF40" s="4">
        <v>-37</v>
      </c>
      <c r="AG40" s="4">
        <v>-60</v>
      </c>
      <c r="AH40" s="4">
        <v>-13</v>
      </c>
      <c r="AI40" s="4">
        <v>-30</v>
      </c>
      <c r="AJ40" s="4">
        <v>-137</v>
      </c>
      <c r="AK40" s="4">
        <v>-33</v>
      </c>
      <c r="AL40" s="4">
        <v>-47</v>
      </c>
      <c r="AM40" s="4">
        <v>-22</v>
      </c>
      <c r="AN40" s="4">
        <v>-622</v>
      </c>
    </row>
    <row r="41" spans="3:40" x14ac:dyDescent="0.5">
      <c r="C41" s="3">
        <v>1913</v>
      </c>
      <c r="D41" s="4">
        <v>-40</v>
      </c>
      <c r="E41" s="4">
        <v>-43</v>
      </c>
      <c r="F41" s="4">
        <v>-43</v>
      </c>
      <c r="G41" s="4">
        <v>-36</v>
      </c>
      <c r="H41" s="4">
        <v>-45</v>
      </c>
      <c r="I41" s="4">
        <v>-45</v>
      </c>
      <c r="J41" s="4">
        <v>-33</v>
      </c>
      <c r="K41" s="4">
        <v>-31</v>
      </c>
      <c r="L41" s="4">
        <v>-32</v>
      </c>
      <c r="M41" s="4">
        <v>-33</v>
      </c>
      <c r="N41" s="4">
        <v>-17</v>
      </c>
      <c r="O41" s="4">
        <v>-3</v>
      </c>
      <c r="P41" s="4">
        <v>-41</v>
      </c>
      <c r="Q41" s="4">
        <v>-37</v>
      </c>
      <c r="R41" s="4">
        <v>-33</v>
      </c>
      <c r="S41" s="4">
        <v>-36</v>
      </c>
      <c r="T41" s="4">
        <v>-41</v>
      </c>
      <c r="U41" s="4">
        <v>-27</v>
      </c>
      <c r="V41" s="4">
        <v>-616</v>
      </c>
      <c r="Y41" s="3">
        <v>1913</v>
      </c>
      <c r="Z41" s="4">
        <v>-33</v>
      </c>
      <c r="AA41" s="4">
        <v>-46</v>
      </c>
      <c r="AB41" s="4">
        <v>-40</v>
      </c>
      <c r="AC41" s="4">
        <v>-31</v>
      </c>
      <c r="AD41" s="4">
        <v>-16</v>
      </c>
      <c r="AE41" s="4">
        <v>-27</v>
      </c>
      <c r="AF41" s="4">
        <v>-29</v>
      </c>
      <c r="AG41" s="4">
        <v>-51</v>
      </c>
      <c r="AH41" s="4">
        <v>-31</v>
      </c>
      <c r="AI41" s="4">
        <v>-31</v>
      </c>
      <c r="AJ41" s="4">
        <v>-75</v>
      </c>
      <c r="AK41" s="4">
        <v>-45</v>
      </c>
      <c r="AL41" s="4">
        <v>-42</v>
      </c>
      <c r="AM41" s="4">
        <v>-25</v>
      </c>
      <c r="AN41" s="4">
        <v>-522</v>
      </c>
    </row>
    <row r="42" spans="3:40" x14ac:dyDescent="0.5">
      <c r="C42" s="3">
        <v>1914</v>
      </c>
      <c r="D42" s="4">
        <v>2</v>
      </c>
      <c r="E42" s="4">
        <v>-13</v>
      </c>
      <c r="F42" s="4">
        <v>-22</v>
      </c>
      <c r="G42" s="4">
        <v>-27</v>
      </c>
      <c r="H42" s="4">
        <v>-19</v>
      </c>
      <c r="I42" s="4">
        <v>-21</v>
      </c>
      <c r="J42" s="4">
        <v>-23</v>
      </c>
      <c r="K42" s="4">
        <v>-13</v>
      </c>
      <c r="L42" s="4">
        <v>-13</v>
      </c>
      <c r="M42" s="4">
        <v>-5</v>
      </c>
      <c r="N42" s="4">
        <v>-20</v>
      </c>
      <c r="O42" s="4">
        <v>-9</v>
      </c>
      <c r="P42" s="4">
        <v>-5</v>
      </c>
      <c r="Q42" s="4">
        <v>-15</v>
      </c>
      <c r="R42" s="4">
        <v>-15</v>
      </c>
      <c r="S42" s="4">
        <v>-19</v>
      </c>
      <c r="T42" s="4">
        <v>-23</v>
      </c>
      <c r="U42" s="4">
        <v>-12</v>
      </c>
      <c r="V42" s="4">
        <v>-272</v>
      </c>
      <c r="Y42" s="3">
        <v>1914</v>
      </c>
      <c r="Z42" s="4">
        <v>-15</v>
      </c>
      <c r="AA42" s="4">
        <v>-25</v>
      </c>
      <c r="AB42" s="4">
        <v>-22</v>
      </c>
      <c r="AC42" s="4">
        <v>-7</v>
      </c>
      <c r="AD42" s="4">
        <v>-2</v>
      </c>
      <c r="AE42" s="4">
        <v>-6</v>
      </c>
      <c r="AF42" s="4">
        <v>-17</v>
      </c>
      <c r="AG42" s="4">
        <v>-50</v>
      </c>
      <c r="AH42" s="4">
        <v>-23</v>
      </c>
      <c r="AI42" s="4">
        <v>-19</v>
      </c>
      <c r="AJ42" s="4">
        <v>-16</v>
      </c>
      <c r="AK42" s="4">
        <v>-12</v>
      </c>
      <c r="AL42" s="4">
        <v>-18</v>
      </c>
      <c r="AM42" s="4">
        <v>-13</v>
      </c>
      <c r="AN42" s="4">
        <v>-245</v>
      </c>
    </row>
    <row r="43" spans="3:40" x14ac:dyDescent="0.5">
      <c r="C43" s="3">
        <v>1915</v>
      </c>
      <c r="D43" s="4">
        <v>-19</v>
      </c>
      <c r="E43" s="4">
        <v>-1</v>
      </c>
      <c r="F43" s="4">
        <v>-9</v>
      </c>
      <c r="G43" s="4">
        <v>8</v>
      </c>
      <c r="H43" s="4">
        <v>-1</v>
      </c>
      <c r="I43" s="4">
        <v>-14</v>
      </c>
      <c r="J43" s="4">
        <v>-1</v>
      </c>
      <c r="K43" s="4">
        <v>-14</v>
      </c>
      <c r="L43" s="4">
        <v>-11</v>
      </c>
      <c r="M43" s="4">
        <v>-21</v>
      </c>
      <c r="N43" s="4">
        <v>-12</v>
      </c>
      <c r="O43" s="4">
        <v>-24</v>
      </c>
      <c r="P43" s="4">
        <v>-10</v>
      </c>
      <c r="Q43" s="4">
        <v>-9</v>
      </c>
      <c r="R43" s="4">
        <v>-10</v>
      </c>
      <c r="S43" s="4">
        <v>-10</v>
      </c>
      <c r="T43" s="4">
        <v>-1</v>
      </c>
      <c r="U43" s="4">
        <v>-15</v>
      </c>
      <c r="V43" s="4">
        <v>-174</v>
      </c>
      <c r="Y43" s="3">
        <v>1915</v>
      </c>
      <c r="Z43" s="4">
        <v>-10</v>
      </c>
      <c r="AA43" s="4">
        <v>-13</v>
      </c>
      <c r="AB43" s="4">
        <v>-16</v>
      </c>
      <c r="AC43" s="4">
        <v>1</v>
      </c>
      <c r="AD43" s="4">
        <v>-1</v>
      </c>
      <c r="AE43" s="4">
        <v>-6</v>
      </c>
      <c r="AF43" s="4">
        <v>-10</v>
      </c>
      <c r="AG43" s="4">
        <v>-50</v>
      </c>
      <c r="AH43" s="4">
        <v>-23</v>
      </c>
      <c r="AI43" s="4">
        <v>-18</v>
      </c>
      <c r="AJ43" s="4">
        <v>-182</v>
      </c>
      <c r="AK43" s="4">
        <v>2</v>
      </c>
      <c r="AL43" s="4">
        <v>-9</v>
      </c>
      <c r="AM43" s="4">
        <v>-11</v>
      </c>
      <c r="AN43" s="4">
        <v>-346</v>
      </c>
    </row>
    <row r="44" spans="3:40" x14ac:dyDescent="0.5">
      <c r="C44" s="3">
        <v>1916</v>
      </c>
      <c r="D44" s="4">
        <v>-19</v>
      </c>
      <c r="E44" s="4">
        <v>-21</v>
      </c>
      <c r="F44" s="4">
        <v>-29</v>
      </c>
      <c r="G44" s="4">
        <v>-24</v>
      </c>
      <c r="H44" s="4">
        <v>-26</v>
      </c>
      <c r="I44" s="4">
        <v>-41</v>
      </c>
      <c r="J44" s="4">
        <v>-31</v>
      </c>
      <c r="K44" s="4">
        <v>-25</v>
      </c>
      <c r="L44" s="4">
        <v>-28</v>
      </c>
      <c r="M44" s="4">
        <v>-27</v>
      </c>
      <c r="N44" s="4">
        <v>-42</v>
      </c>
      <c r="O44" s="4">
        <v>-77</v>
      </c>
      <c r="P44" s="4">
        <v>-21</v>
      </c>
      <c r="Q44" s="4">
        <v>-28</v>
      </c>
      <c r="R44" s="4">
        <v>-33</v>
      </c>
      <c r="S44" s="4">
        <v>-33</v>
      </c>
      <c r="T44" s="4">
        <v>-26</v>
      </c>
      <c r="U44" s="4">
        <v>-32</v>
      </c>
      <c r="V44" s="4">
        <v>-563</v>
      </c>
      <c r="Y44" s="3">
        <v>1916</v>
      </c>
      <c r="Z44" s="4">
        <v>-33</v>
      </c>
      <c r="AA44" s="4">
        <v>-19</v>
      </c>
      <c r="AB44" s="4">
        <v>-27</v>
      </c>
      <c r="AC44" s="4">
        <v>-45</v>
      </c>
      <c r="AD44" s="4">
        <v>-42</v>
      </c>
      <c r="AE44" s="4">
        <v>-43</v>
      </c>
      <c r="AF44" s="4">
        <v>-22</v>
      </c>
      <c r="AG44" s="4">
        <v>-25</v>
      </c>
      <c r="AH44" s="4">
        <v>-17</v>
      </c>
      <c r="AI44" s="4">
        <v>-22</v>
      </c>
      <c r="AJ44" s="4">
        <v>-104</v>
      </c>
      <c r="AK44" s="4">
        <v>-47</v>
      </c>
      <c r="AL44" s="4">
        <v>-35</v>
      </c>
      <c r="AM44" s="4">
        <v>-30</v>
      </c>
      <c r="AN44" s="4">
        <v>-511</v>
      </c>
    </row>
    <row r="45" spans="3:40" x14ac:dyDescent="0.5">
      <c r="C45" s="3">
        <v>1917</v>
      </c>
      <c r="D45" s="4">
        <v>-46</v>
      </c>
      <c r="E45" s="4">
        <v>-55</v>
      </c>
      <c r="F45" s="4">
        <v>-48</v>
      </c>
      <c r="G45" s="4">
        <v>-38</v>
      </c>
      <c r="H45" s="4">
        <v>-48</v>
      </c>
      <c r="I45" s="4">
        <v>-39</v>
      </c>
      <c r="J45" s="4">
        <v>-21</v>
      </c>
      <c r="K45" s="4">
        <v>-25</v>
      </c>
      <c r="L45" s="4">
        <v>-17</v>
      </c>
      <c r="M45" s="4">
        <v>-34</v>
      </c>
      <c r="N45" s="4">
        <v>-28</v>
      </c>
      <c r="O45" s="4">
        <v>-70</v>
      </c>
      <c r="P45" s="4">
        <v>-59</v>
      </c>
      <c r="Q45" s="4">
        <v>-40</v>
      </c>
      <c r="R45" s="4">
        <v>-39</v>
      </c>
      <c r="S45" s="4">
        <v>-28</v>
      </c>
      <c r="T45" s="4">
        <v>-45</v>
      </c>
      <c r="U45" s="4">
        <v>-26</v>
      </c>
      <c r="V45" s="4">
        <v>-706</v>
      </c>
      <c r="Y45" s="3">
        <v>1917</v>
      </c>
      <c r="Z45" s="4">
        <v>-39</v>
      </c>
      <c r="AA45" s="4">
        <v>-36</v>
      </c>
      <c r="AB45" s="4">
        <v>-40</v>
      </c>
      <c r="AC45" s="4">
        <v>-61</v>
      </c>
      <c r="AD45" s="4">
        <v>-51</v>
      </c>
      <c r="AE45" s="4">
        <v>-39</v>
      </c>
      <c r="AF45" s="4">
        <v>-17</v>
      </c>
      <c r="AG45" s="4">
        <v>-64</v>
      </c>
      <c r="AH45" s="4">
        <v>4</v>
      </c>
      <c r="AI45" s="4">
        <v>-9</v>
      </c>
      <c r="AJ45" s="4">
        <v>37</v>
      </c>
      <c r="AK45" s="4">
        <v>-70</v>
      </c>
      <c r="AL45" s="4">
        <v>-52</v>
      </c>
      <c r="AM45" s="4">
        <v>-26</v>
      </c>
      <c r="AN45" s="4">
        <v>-463</v>
      </c>
    </row>
    <row r="46" spans="3:40" x14ac:dyDescent="0.5">
      <c r="C46" s="3">
        <v>1918</v>
      </c>
      <c r="D46" s="4">
        <v>-43</v>
      </c>
      <c r="E46" s="4">
        <v>-31</v>
      </c>
      <c r="F46" s="4">
        <v>-20</v>
      </c>
      <c r="G46" s="4">
        <v>-38</v>
      </c>
      <c r="H46" s="4">
        <v>-36</v>
      </c>
      <c r="I46" s="4">
        <v>-27</v>
      </c>
      <c r="J46" s="4">
        <v>-19</v>
      </c>
      <c r="K46" s="4">
        <v>-24</v>
      </c>
      <c r="L46" s="4">
        <v>-13</v>
      </c>
      <c r="M46" s="4">
        <v>-2</v>
      </c>
      <c r="N46" s="4">
        <v>-14</v>
      </c>
      <c r="O46" s="4">
        <v>-27</v>
      </c>
      <c r="P46" s="4">
        <v>-48</v>
      </c>
      <c r="Q46" s="4">
        <v>-28</v>
      </c>
      <c r="R46" s="4">
        <v>-24</v>
      </c>
      <c r="S46" s="4">
        <v>-23</v>
      </c>
      <c r="T46" s="4">
        <v>-31</v>
      </c>
      <c r="U46" s="4">
        <v>-10</v>
      </c>
      <c r="V46" s="4">
        <v>-458</v>
      </c>
      <c r="Y46" s="3">
        <v>1918</v>
      </c>
      <c r="Z46" s="4">
        <v>-24</v>
      </c>
      <c r="AA46" s="4">
        <v>-23</v>
      </c>
      <c r="AB46" s="4">
        <v>-32</v>
      </c>
      <c r="AC46" s="4">
        <v>-27</v>
      </c>
      <c r="AD46" s="4">
        <v>-22</v>
      </c>
      <c r="AE46" s="4">
        <v>-13</v>
      </c>
      <c r="AF46" s="4">
        <v>-8</v>
      </c>
      <c r="AG46" s="4">
        <v>-108</v>
      </c>
      <c r="AH46" s="4">
        <v>-23</v>
      </c>
      <c r="AI46" s="4">
        <v>-14</v>
      </c>
      <c r="AJ46" s="4">
        <v>4</v>
      </c>
      <c r="AK46" s="4">
        <v>-32</v>
      </c>
      <c r="AL46" s="4">
        <v>-32</v>
      </c>
      <c r="AM46" s="4">
        <v>-17</v>
      </c>
      <c r="AN46" s="4">
        <v>-371</v>
      </c>
    </row>
    <row r="47" spans="3:40" x14ac:dyDescent="0.5">
      <c r="C47" s="3">
        <v>1919</v>
      </c>
      <c r="D47" s="4">
        <v>-17</v>
      </c>
      <c r="E47" s="4">
        <v>-20</v>
      </c>
      <c r="F47" s="4">
        <v>-25</v>
      </c>
      <c r="G47" s="4">
        <v>-18</v>
      </c>
      <c r="H47" s="4">
        <v>-18</v>
      </c>
      <c r="I47" s="4">
        <v>-26</v>
      </c>
      <c r="J47" s="4">
        <v>-19</v>
      </c>
      <c r="K47" s="4">
        <v>-18</v>
      </c>
      <c r="L47" s="4">
        <v>-16</v>
      </c>
      <c r="M47" s="4">
        <v>-14</v>
      </c>
      <c r="N47" s="4">
        <v>-29</v>
      </c>
      <c r="O47" s="4">
        <v>-33</v>
      </c>
      <c r="P47" s="4">
        <v>-21</v>
      </c>
      <c r="Q47" s="4">
        <v>-21</v>
      </c>
      <c r="R47" s="4">
        <v>-21</v>
      </c>
      <c r="S47" s="4">
        <v>-21</v>
      </c>
      <c r="T47" s="4">
        <v>-20</v>
      </c>
      <c r="U47" s="4">
        <v>-20</v>
      </c>
      <c r="V47" s="4">
        <v>-377</v>
      </c>
      <c r="Y47" s="3">
        <v>1919</v>
      </c>
      <c r="Z47" s="4">
        <v>-21</v>
      </c>
      <c r="AA47" s="4">
        <v>-25</v>
      </c>
      <c r="AB47" s="4">
        <v>-39</v>
      </c>
      <c r="AC47" s="4">
        <v>-14</v>
      </c>
      <c r="AD47" s="4">
        <v>-5</v>
      </c>
      <c r="AE47" s="4">
        <v>-44</v>
      </c>
      <c r="AF47" s="4">
        <v>-7</v>
      </c>
      <c r="AG47" s="4">
        <v>-80</v>
      </c>
      <c r="AH47" s="4">
        <v>-22</v>
      </c>
      <c r="AI47" s="4">
        <v>-13</v>
      </c>
      <c r="AJ47" s="4">
        <v>44</v>
      </c>
      <c r="AK47" s="4">
        <v>-23</v>
      </c>
      <c r="AL47" s="4">
        <v>-32</v>
      </c>
      <c r="AM47" s="4">
        <v>-10</v>
      </c>
      <c r="AN47" s="4">
        <v>-291</v>
      </c>
    </row>
    <row r="48" spans="3:40" x14ac:dyDescent="0.5">
      <c r="C48" s="3">
        <v>1920</v>
      </c>
      <c r="D48" s="4">
        <v>-14</v>
      </c>
      <c r="E48" s="4">
        <v>-22</v>
      </c>
      <c r="F48" s="4">
        <v>-6</v>
      </c>
      <c r="G48" s="4">
        <v>-25</v>
      </c>
      <c r="H48" s="4">
        <v>-24</v>
      </c>
      <c r="I48" s="4">
        <v>-31</v>
      </c>
      <c r="J48" s="4">
        <v>-30</v>
      </c>
      <c r="K48" s="4">
        <v>-27</v>
      </c>
      <c r="L48" s="4">
        <v>-18</v>
      </c>
      <c r="M48" s="4">
        <v>-27</v>
      </c>
      <c r="N48" s="4">
        <v>-32</v>
      </c>
      <c r="O48" s="4">
        <v>-44</v>
      </c>
      <c r="P48" s="4">
        <v>-23</v>
      </c>
      <c r="Q48" s="4">
        <v>-24</v>
      </c>
      <c r="R48" s="4">
        <v>-25</v>
      </c>
      <c r="S48" s="4">
        <v>-29</v>
      </c>
      <c r="T48" s="4">
        <v>-18</v>
      </c>
      <c r="U48" s="4">
        <v>-25</v>
      </c>
      <c r="V48" s="4">
        <v>-444</v>
      </c>
      <c r="Y48" s="3">
        <v>1920</v>
      </c>
      <c r="Z48" s="4">
        <v>-25</v>
      </c>
      <c r="AA48" s="4">
        <v>-29</v>
      </c>
      <c r="AB48" s="4">
        <v>-16</v>
      </c>
      <c r="AC48" s="4">
        <v>-27</v>
      </c>
      <c r="AD48" s="4">
        <v>-14</v>
      </c>
      <c r="AE48" s="4">
        <v>-8</v>
      </c>
      <c r="AF48" s="4">
        <v>-20</v>
      </c>
      <c r="AG48" s="4">
        <v>13</v>
      </c>
      <c r="AH48" s="4">
        <v>-44</v>
      </c>
      <c r="AI48" s="4">
        <v>-30</v>
      </c>
      <c r="AJ48" s="4">
        <v>-69</v>
      </c>
      <c r="AK48" s="4">
        <v>-40</v>
      </c>
      <c r="AL48" s="4">
        <v>-26</v>
      </c>
      <c r="AM48" s="4">
        <v>-24</v>
      </c>
      <c r="AN48" s="4">
        <v>-359</v>
      </c>
    </row>
    <row r="49" spans="3:40" x14ac:dyDescent="0.5">
      <c r="C49" s="3">
        <v>1921</v>
      </c>
      <c r="D49" s="4">
        <v>-2</v>
      </c>
      <c r="E49" s="4">
        <v>-20</v>
      </c>
      <c r="F49" s="4">
        <v>-26</v>
      </c>
      <c r="G49" s="4">
        <v>-34</v>
      </c>
      <c r="H49" s="4">
        <v>-34</v>
      </c>
      <c r="I49" s="4">
        <v>-29</v>
      </c>
      <c r="J49" s="4">
        <v>-14</v>
      </c>
      <c r="K49" s="4">
        <v>-22</v>
      </c>
      <c r="L49" s="4">
        <v>-16</v>
      </c>
      <c r="M49" s="4">
        <v>-5</v>
      </c>
      <c r="N49" s="4">
        <v>-15</v>
      </c>
      <c r="O49" s="4">
        <v>-17</v>
      </c>
      <c r="P49" s="4">
        <v>-22</v>
      </c>
      <c r="Q49" s="4">
        <v>-22</v>
      </c>
      <c r="R49" s="4">
        <v>-19</v>
      </c>
      <c r="S49" s="4">
        <v>-21</v>
      </c>
      <c r="T49" s="4">
        <v>-32</v>
      </c>
      <c r="U49" s="4">
        <v>-12</v>
      </c>
      <c r="V49" s="4">
        <v>-362</v>
      </c>
      <c r="Y49" s="3">
        <v>1921</v>
      </c>
      <c r="Z49" s="4">
        <v>-19</v>
      </c>
      <c r="AA49" s="4">
        <v>-4</v>
      </c>
      <c r="AB49" s="4">
        <v>7</v>
      </c>
      <c r="AC49" s="4">
        <v>-27</v>
      </c>
      <c r="AD49" s="4">
        <v>-25</v>
      </c>
      <c r="AE49" s="4">
        <v>24</v>
      </c>
      <c r="AF49" s="4">
        <v>-25</v>
      </c>
      <c r="AG49" s="4">
        <v>5</v>
      </c>
      <c r="AH49" s="4">
        <v>-49</v>
      </c>
      <c r="AI49" s="4">
        <v>-35</v>
      </c>
      <c r="AJ49" s="4">
        <v>-52</v>
      </c>
      <c r="AK49" s="4">
        <v>-30</v>
      </c>
      <c r="AL49" s="4">
        <v>-8</v>
      </c>
      <c r="AM49" s="4">
        <v>-31</v>
      </c>
      <c r="AN49" s="4">
        <v>-269</v>
      </c>
    </row>
    <row r="50" spans="3:40" x14ac:dyDescent="0.5">
      <c r="C50" s="3">
        <v>1922</v>
      </c>
      <c r="D50" s="4">
        <v>-31</v>
      </c>
      <c r="E50" s="4">
        <v>-40</v>
      </c>
      <c r="F50" s="4">
        <v>-12</v>
      </c>
      <c r="G50" s="4">
        <v>-20</v>
      </c>
      <c r="H50" s="4">
        <v>-33</v>
      </c>
      <c r="I50" s="4">
        <v>-31</v>
      </c>
      <c r="J50" s="4">
        <v>-24</v>
      </c>
      <c r="K50" s="4">
        <v>-29</v>
      </c>
      <c r="L50" s="4">
        <v>-27</v>
      </c>
      <c r="M50" s="4">
        <v>-30</v>
      </c>
      <c r="N50" s="4">
        <v>-15</v>
      </c>
      <c r="O50" s="4">
        <v>-15</v>
      </c>
      <c r="P50" s="4">
        <v>-29</v>
      </c>
      <c r="Q50" s="4">
        <v>-26</v>
      </c>
      <c r="R50" s="4">
        <v>-26</v>
      </c>
      <c r="S50" s="4">
        <v>-28</v>
      </c>
      <c r="T50" s="4">
        <v>-21</v>
      </c>
      <c r="U50" s="4">
        <v>-24</v>
      </c>
      <c r="V50" s="4">
        <v>-461</v>
      </c>
      <c r="Y50" s="3">
        <v>1922</v>
      </c>
      <c r="Z50" s="4">
        <v>-26</v>
      </c>
      <c r="AA50" s="4">
        <v>-8</v>
      </c>
      <c r="AB50" s="4">
        <v>-18</v>
      </c>
      <c r="AC50" s="4">
        <v>-32</v>
      </c>
      <c r="AD50" s="4">
        <v>-29</v>
      </c>
      <c r="AE50" s="4">
        <v>-31</v>
      </c>
      <c r="AF50" s="4">
        <v>-23</v>
      </c>
      <c r="AG50" s="4">
        <v>-22</v>
      </c>
      <c r="AH50" s="4">
        <v>-27</v>
      </c>
      <c r="AI50" s="4">
        <v>-25</v>
      </c>
      <c r="AJ50" s="4">
        <v>-5</v>
      </c>
      <c r="AK50" s="4">
        <v>-35</v>
      </c>
      <c r="AL50" s="4">
        <v>-25</v>
      </c>
      <c r="AM50" s="4">
        <v>-27</v>
      </c>
      <c r="AN50" s="4">
        <v>-333</v>
      </c>
    </row>
    <row r="51" spans="3:40" x14ac:dyDescent="0.5">
      <c r="C51" s="3">
        <v>1923</v>
      </c>
      <c r="D51" s="4">
        <v>-25</v>
      </c>
      <c r="E51" s="4">
        <v>-35</v>
      </c>
      <c r="F51" s="4">
        <v>-29</v>
      </c>
      <c r="G51" s="4">
        <v>-37</v>
      </c>
      <c r="H51" s="4">
        <v>-31</v>
      </c>
      <c r="I51" s="4">
        <v>-22</v>
      </c>
      <c r="J51" s="4">
        <v>-27</v>
      </c>
      <c r="K51" s="4">
        <v>-28</v>
      </c>
      <c r="L51" s="4">
        <v>-26</v>
      </c>
      <c r="M51" s="4">
        <v>-10</v>
      </c>
      <c r="N51" s="4">
        <v>5</v>
      </c>
      <c r="O51" s="4">
        <v>-3</v>
      </c>
      <c r="P51" s="4">
        <v>-25</v>
      </c>
      <c r="Q51" s="4">
        <v>-24</v>
      </c>
      <c r="R51" s="4">
        <v>-22</v>
      </c>
      <c r="S51" s="4">
        <v>-26</v>
      </c>
      <c r="T51" s="4">
        <v>-33</v>
      </c>
      <c r="U51" s="4">
        <v>-11</v>
      </c>
      <c r="V51" s="4">
        <v>-409</v>
      </c>
      <c r="Y51" s="3">
        <v>1923</v>
      </c>
      <c r="Z51" s="4">
        <v>-22</v>
      </c>
      <c r="AA51" s="4">
        <v>-21</v>
      </c>
      <c r="AB51" s="4">
        <v>-7</v>
      </c>
      <c r="AC51" s="4">
        <v>-30</v>
      </c>
      <c r="AD51" s="4">
        <v>-27</v>
      </c>
      <c r="AE51" s="4">
        <v>-3</v>
      </c>
      <c r="AF51" s="4">
        <v>-26</v>
      </c>
      <c r="AG51" s="4">
        <v>29</v>
      </c>
      <c r="AH51" s="4">
        <v>-28</v>
      </c>
      <c r="AI51" s="4">
        <v>-28</v>
      </c>
      <c r="AJ51" s="4">
        <v>-34</v>
      </c>
      <c r="AK51" s="4">
        <v>-33</v>
      </c>
      <c r="AL51" s="4">
        <v>-18</v>
      </c>
      <c r="AM51" s="4">
        <v>-27</v>
      </c>
      <c r="AN51" s="4">
        <v>-275</v>
      </c>
    </row>
    <row r="52" spans="3:40" x14ac:dyDescent="0.5">
      <c r="C52" s="3">
        <v>1924</v>
      </c>
      <c r="D52" s="4">
        <v>-21</v>
      </c>
      <c r="E52" s="4">
        <v>-25</v>
      </c>
      <c r="F52" s="4">
        <v>-11</v>
      </c>
      <c r="G52" s="4">
        <v>-33</v>
      </c>
      <c r="H52" s="4">
        <v>-17</v>
      </c>
      <c r="I52" s="4">
        <v>-26</v>
      </c>
      <c r="J52" s="4">
        <v>-25</v>
      </c>
      <c r="K52" s="4">
        <v>-32</v>
      </c>
      <c r="L52" s="4">
        <v>-29</v>
      </c>
      <c r="M52" s="4">
        <v>-34</v>
      </c>
      <c r="N52" s="4">
        <v>-21</v>
      </c>
      <c r="O52" s="4">
        <v>-40</v>
      </c>
      <c r="P52" s="4">
        <v>-16</v>
      </c>
      <c r="Q52" s="4">
        <v>-23</v>
      </c>
      <c r="R52" s="4">
        <v>-26</v>
      </c>
      <c r="S52" s="4">
        <v>-28</v>
      </c>
      <c r="T52" s="4">
        <v>-20</v>
      </c>
      <c r="U52" s="4">
        <v>-28</v>
      </c>
      <c r="V52" s="4">
        <v>-455</v>
      </c>
      <c r="Y52" s="3">
        <v>1924</v>
      </c>
      <c r="Z52" s="4">
        <v>-26</v>
      </c>
      <c r="AA52" s="4">
        <v>-16</v>
      </c>
      <c r="AB52" s="4">
        <v>-7</v>
      </c>
      <c r="AC52" s="4">
        <v>-25</v>
      </c>
      <c r="AD52" s="4">
        <v>-24</v>
      </c>
      <c r="AE52" s="4">
        <v>-15</v>
      </c>
      <c r="AF52" s="4">
        <v>-38</v>
      </c>
      <c r="AG52" s="4">
        <v>38</v>
      </c>
      <c r="AH52" s="4">
        <v>-60</v>
      </c>
      <c r="AI52" s="4">
        <v>-47</v>
      </c>
      <c r="AJ52" s="4">
        <v>-49</v>
      </c>
      <c r="AK52" s="4">
        <v>-26</v>
      </c>
      <c r="AL52" s="4">
        <v>-15</v>
      </c>
      <c r="AM52" s="4">
        <v>-38</v>
      </c>
      <c r="AN52" s="4">
        <v>-348</v>
      </c>
    </row>
    <row r="53" spans="3:40" x14ac:dyDescent="0.5">
      <c r="C53" s="3">
        <v>1925</v>
      </c>
      <c r="D53" s="4">
        <v>-32</v>
      </c>
      <c r="E53" s="4">
        <v>-32</v>
      </c>
      <c r="F53" s="4">
        <v>-21</v>
      </c>
      <c r="G53" s="4">
        <v>-24</v>
      </c>
      <c r="H53" s="4">
        <v>-29</v>
      </c>
      <c r="I53" s="4">
        <v>-32</v>
      </c>
      <c r="J53" s="4">
        <v>-27</v>
      </c>
      <c r="K53" s="4">
        <v>-17</v>
      </c>
      <c r="L53" s="4">
        <v>-12</v>
      </c>
      <c r="M53" s="4">
        <v>-16</v>
      </c>
      <c r="N53" s="4">
        <v>5</v>
      </c>
      <c r="O53" s="4">
        <v>11</v>
      </c>
      <c r="P53" s="4">
        <v>-35</v>
      </c>
      <c r="Q53" s="4">
        <v>-23</v>
      </c>
      <c r="R53" s="4">
        <v>-19</v>
      </c>
      <c r="S53" s="4">
        <v>-25</v>
      </c>
      <c r="T53" s="4">
        <v>-25</v>
      </c>
      <c r="U53" s="4">
        <v>-8</v>
      </c>
      <c r="V53" s="4">
        <v>-361</v>
      </c>
      <c r="Y53" s="3">
        <v>1925</v>
      </c>
      <c r="Z53" s="4">
        <v>-19</v>
      </c>
      <c r="AA53" s="4">
        <v>-11</v>
      </c>
      <c r="AB53" s="4">
        <v>3</v>
      </c>
      <c r="AC53" s="4">
        <v>-22</v>
      </c>
      <c r="AD53" s="4">
        <v>-22</v>
      </c>
      <c r="AE53" s="4">
        <v>27</v>
      </c>
      <c r="AF53" s="4">
        <v>-24</v>
      </c>
      <c r="AG53" s="4">
        <v>-4</v>
      </c>
      <c r="AH53" s="4">
        <v>-55</v>
      </c>
      <c r="AI53" s="4">
        <v>-36</v>
      </c>
      <c r="AJ53" s="4">
        <v>-59</v>
      </c>
      <c r="AK53" s="4">
        <v>-22</v>
      </c>
      <c r="AL53" s="4">
        <v>-7</v>
      </c>
      <c r="AM53" s="4">
        <v>-30</v>
      </c>
      <c r="AN53" s="4">
        <v>-281</v>
      </c>
    </row>
    <row r="54" spans="3:40" x14ac:dyDescent="0.5">
      <c r="C54" s="3">
        <v>1926</v>
      </c>
      <c r="D54" s="4">
        <v>22</v>
      </c>
      <c r="E54" s="4">
        <v>8</v>
      </c>
      <c r="F54" s="4">
        <v>13</v>
      </c>
      <c r="G54" s="4">
        <v>-13</v>
      </c>
      <c r="H54" s="4">
        <v>-23</v>
      </c>
      <c r="I54" s="4">
        <v>-24</v>
      </c>
      <c r="J54" s="4">
        <v>-19</v>
      </c>
      <c r="K54" s="4">
        <v>-9</v>
      </c>
      <c r="L54" s="4">
        <v>-10</v>
      </c>
      <c r="M54" s="4">
        <v>-10</v>
      </c>
      <c r="N54" s="4">
        <v>-6</v>
      </c>
      <c r="O54" s="4">
        <v>-29</v>
      </c>
      <c r="P54" s="4">
        <v>14</v>
      </c>
      <c r="Q54" s="4">
        <v>-5</v>
      </c>
      <c r="R54" s="4">
        <v>-8</v>
      </c>
      <c r="S54" s="4">
        <v>-17</v>
      </c>
      <c r="T54" s="4">
        <v>-8</v>
      </c>
      <c r="U54" s="4">
        <v>-8</v>
      </c>
      <c r="V54" s="4">
        <v>-132</v>
      </c>
      <c r="Y54" s="3">
        <v>1926</v>
      </c>
      <c r="Z54" s="4">
        <v>-8</v>
      </c>
      <c r="AA54" s="4">
        <v>-18</v>
      </c>
      <c r="AB54" s="4">
        <v>6</v>
      </c>
      <c r="AC54" s="4">
        <v>3</v>
      </c>
      <c r="AD54" s="4">
        <v>5</v>
      </c>
      <c r="AE54" s="4">
        <v>25</v>
      </c>
      <c r="AF54" s="4">
        <v>-32</v>
      </c>
      <c r="AG54" s="4">
        <v>52</v>
      </c>
      <c r="AH54" s="4">
        <v>-46</v>
      </c>
      <c r="AI54" s="4">
        <v>-38</v>
      </c>
      <c r="AJ54" s="4">
        <v>-39</v>
      </c>
      <c r="AK54" s="4">
        <v>1</v>
      </c>
      <c r="AL54" s="4">
        <v>4</v>
      </c>
      <c r="AM54" s="4">
        <v>-21</v>
      </c>
      <c r="AN54" s="4">
        <v>-106</v>
      </c>
    </row>
    <row r="55" spans="3:40" x14ac:dyDescent="0.5">
      <c r="C55" s="3">
        <v>1927</v>
      </c>
      <c r="D55" s="4">
        <v>-26</v>
      </c>
      <c r="E55" s="4">
        <v>-19</v>
      </c>
      <c r="F55" s="4">
        <v>-37</v>
      </c>
      <c r="G55" s="4">
        <v>-31</v>
      </c>
      <c r="H55" s="4">
        <v>-24</v>
      </c>
      <c r="I55" s="4">
        <v>-26</v>
      </c>
      <c r="J55" s="4">
        <v>-13</v>
      </c>
      <c r="K55" s="4">
        <v>-18</v>
      </c>
      <c r="L55" s="4">
        <v>-5</v>
      </c>
      <c r="M55" s="4">
        <v>1</v>
      </c>
      <c r="N55" s="4">
        <v>-3</v>
      </c>
      <c r="O55" s="4">
        <v>-35</v>
      </c>
      <c r="P55" s="4">
        <v>-25</v>
      </c>
      <c r="Q55" s="4">
        <v>-19</v>
      </c>
      <c r="R55" s="4">
        <v>-20</v>
      </c>
      <c r="S55" s="4">
        <v>-19</v>
      </c>
      <c r="T55" s="4">
        <v>-31</v>
      </c>
      <c r="U55" s="4">
        <v>-2</v>
      </c>
      <c r="V55" s="4">
        <v>-352</v>
      </c>
      <c r="Y55" s="3">
        <v>1927</v>
      </c>
      <c r="Z55" s="4">
        <v>-20</v>
      </c>
      <c r="AA55" s="4">
        <v>-9</v>
      </c>
      <c r="AB55" s="4">
        <v>-9</v>
      </c>
      <c r="AC55" s="4">
        <v>-14</v>
      </c>
      <c r="AD55" s="4">
        <v>-17</v>
      </c>
      <c r="AE55" s="4">
        <v>-12</v>
      </c>
      <c r="AF55" s="4">
        <v>-31</v>
      </c>
      <c r="AG55" s="4">
        <v>-4</v>
      </c>
      <c r="AH55" s="4">
        <v>-41</v>
      </c>
      <c r="AI55" s="4">
        <v>-37</v>
      </c>
      <c r="AJ55" s="4">
        <v>-130</v>
      </c>
      <c r="AK55" s="4">
        <v>-12</v>
      </c>
      <c r="AL55" s="4">
        <v>-10</v>
      </c>
      <c r="AM55" s="4">
        <v>-29</v>
      </c>
      <c r="AN55" s="4">
        <v>-375</v>
      </c>
    </row>
    <row r="56" spans="3:40" x14ac:dyDescent="0.5">
      <c r="C56" s="3">
        <v>1928</v>
      </c>
      <c r="D56" s="4">
        <v>-2</v>
      </c>
      <c r="E56" s="4">
        <v>-10</v>
      </c>
      <c r="F56" s="4">
        <v>-27</v>
      </c>
      <c r="G56" s="4">
        <v>-28</v>
      </c>
      <c r="H56" s="4">
        <v>-28</v>
      </c>
      <c r="I56" s="4">
        <v>-40</v>
      </c>
      <c r="J56" s="4">
        <v>-19</v>
      </c>
      <c r="K56" s="4">
        <v>-24</v>
      </c>
      <c r="L56" s="4">
        <v>-19</v>
      </c>
      <c r="M56" s="4">
        <v>-18</v>
      </c>
      <c r="N56" s="4">
        <v>-9</v>
      </c>
      <c r="O56" s="4">
        <v>-19</v>
      </c>
      <c r="P56" s="4">
        <v>-16</v>
      </c>
      <c r="Q56" s="4">
        <v>-21</v>
      </c>
      <c r="R56" s="4">
        <v>-20</v>
      </c>
      <c r="S56" s="4">
        <v>-27</v>
      </c>
      <c r="T56" s="4">
        <v>-28</v>
      </c>
      <c r="U56" s="4">
        <v>-15</v>
      </c>
      <c r="V56" s="4">
        <v>-370</v>
      </c>
      <c r="Y56" s="3">
        <v>1928</v>
      </c>
      <c r="Z56" s="4">
        <v>-20</v>
      </c>
      <c r="AA56" s="4">
        <v>-18</v>
      </c>
      <c r="AB56" s="4">
        <v>-3</v>
      </c>
      <c r="AC56" s="4">
        <v>-14</v>
      </c>
      <c r="AD56" s="4">
        <v>-14</v>
      </c>
      <c r="AE56" s="4">
        <v>-7</v>
      </c>
      <c r="AF56" s="4">
        <v>-32</v>
      </c>
      <c r="AG56" s="4">
        <v>59</v>
      </c>
      <c r="AH56" s="4">
        <v>-62</v>
      </c>
      <c r="AI56" s="4">
        <v>-46</v>
      </c>
      <c r="AJ56" s="4">
        <v>-205</v>
      </c>
      <c r="AK56" s="4">
        <v>-14</v>
      </c>
      <c r="AL56" s="4">
        <v>-7</v>
      </c>
      <c r="AM56" s="4">
        <v>-33</v>
      </c>
      <c r="AN56" s="4">
        <v>-416</v>
      </c>
    </row>
    <row r="57" spans="3:40" x14ac:dyDescent="0.5">
      <c r="C57" s="3">
        <v>1929</v>
      </c>
      <c r="D57" s="4">
        <v>-46</v>
      </c>
      <c r="E57" s="4">
        <v>-57</v>
      </c>
      <c r="F57" s="4">
        <v>-34</v>
      </c>
      <c r="G57" s="4">
        <v>-41</v>
      </c>
      <c r="H57" s="4">
        <v>-38</v>
      </c>
      <c r="I57" s="4">
        <v>-42</v>
      </c>
      <c r="J57" s="4">
        <v>-32</v>
      </c>
      <c r="K57" s="4">
        <v>-28</v>
      </c>
      <c r="L57" s="4">
        <v>-23</v>
      </c>
      <c r="M57" s="4">
        <v>-14</v>
      </c>
      <c r="N57" s="4">
        <v>-14</v>
      </c>
      <c r="O57" s="4">
        <v>-53</v>
      </c>
      <c r="P57" s="4">
        <v>-41</v>
      </c>
      <c r="Q57" s="4">
        <v>-32</v>
      </c>
      <c r="R57" s="4">
        <v>-35</v>
      </c>
      <c r="S57" s="4">
        <v>-34</v>
      </c>
      <c r="T57" s="4">
        <v>-38</v>
      </c>
      <c r="U57" s="4">
        <v>-17</v>
      </c>
      <c r="V57" s="4">
        <v>-619</v>
      </c>
      <c r="Y57" s="3">
        <v>1929</v>
      </c>
      <c r="Z57" s="4">
        <v>-35</v>
      </c>
      <c r="AA57" s="4">
        <v>-33</v>
      </c>
      <c r="AB57" s="4">
        <v>-33</v>
      </c>
      <c r="AC57" s="4">
        <v>-27</v>
      </c>
      <c r="AD57" s="4">
        <v>-29</v>
      </c>
      <c r="AE57" s="4">
        <v>-50</v>
      </c>
      <c r="AF57" s="4">
        <v>-41</v>
      </c>
      <c r="AG57" s="4">
        <v>1</v>
      </c>
      <c r="AH57" s="4">
        <v>-57</v>
      </c>
      <c r="AI57" s="4">
        <v>-48</v>
      </c>
      <c r="AJ57" s="4">
        <v>-97</v>
      </c>
      <c r="AK57" s="4">
        <v>-26</v>
      </c>
      <c r="AL57" s="4">
        <v>-30</v>
      </c>
      <c r="AM57" s="4">
        <v>-40</v>
      </c>
      <c r="AN57" s="4">
        <v>-545</v>
      </c>
    </row>
    <row r="58" spans="3:40" x14ac:dyDescent="0.5">
      <c r="C58" s="3">
        <v>1930</v>
      </c>
      <c r="D58" s="4">
        <v>-28</v>
      </c>
      <c r="E58" s="4">
        <v>-23</v>
      </c>
      <c r="F58" s="4">
        <v>-9</v>
      </c>
      <c r="G58" s="4">
        <v>-24</v>
      </c>
      <c r="H58" s="4">
        <v>-24</v>
      </c>
      <c r="I58" s="4">
        <v>-17</v>
      </c>
      <c r="J58" s="4">
        <v>-14</v>
      </c>
      <c r="K58" s="4">
        <v>-9</v>
      </c>
      <c r="L58" s="4">
        <v>-10</v>
      </c>
      <c r="M58" s="4">
        <v>-8</v>
      </c>
      <c r="N58" s="4">
        <v>15</v>
      </c>
      <c r="O58" s="4">
        <v>-7</v>
      </c>
      <c r="P58" s="4">
        <v>-35</v>
      </c>
      <c r="Q58" s="4">
        <v>-17</v>
      </c>
      <c r="R58" s="4">
        <v>-13</v>
      </c>
      <c r="S58" s="4">
        <v>-14</v>
      </c>
      <c r="T58" s="4">
        <v>-19</v>
      </c>
      <c r="U58" s="4">
        <v>-1</v>
      </c>
      <c r="V58" s="4">
        <v>-257</v>
      </c>
      <c r="Y58" s="3">
        <v>1930</v>
      </c>
      <c r="Z58" s="4">
        <v>-13</v>
      </c>
      <c r="AA58" s="4">
        <v>-5</v>
      </c>
      <c r="AB58" s="4">
        <v>10</v>
      </c>
      <c r="AC58" s="4">
        <v>-12</v>
      </c>
      <c r="AD58" s="4">
        <v>-15</v>
      </c>
      <c r="AE58" s="4">
        <v>16</v>
      </c>
      <c r="AF58" s="4">
        <v>-31</v>
      </c>
      <c r="AG58" s="4">
        <v>48</v>
      </c>
      <c r="AH58" s="4">
        <v>-42</v>
      </c>
      <c r="AI58" s="4">
        <v>-38</v>
      </c>
      <c r="AJ58" s="4">
        <v>-237</v>
      </c>
      <c r="AK58" s="4">
        <v>-9</v>
      </c>
      <c r="AL58" s="4">
        <v>2</v>
      </c>
      <c r="AM58" s="4">
        <v>-29</v>
      </c>
      <c r="AN58" s="4">
        <v>-355</v>
      </c>
    </row>
    <row r="59" spans="3:40" x14ac:dyDescent="0.5">
      <c r="C59" s="3">
        <v>1931</v>
      </c>
      <c r="D59" s="4">
        <v>-10</v>
      </c>
      <c r="E59" s="4">
        <v>-20</v>
      </c>
      <c r="F59" s="4">
        <v>-6</v>
      </c>
      <c r="G59" s="4">
        <v>-20</v>
      </c>
      <c r="H59" s="4">
        <v>-21</v>
      </c>
      <c r="I59" s="4">
        <v>-5</v>
      </c>
      <c r="J59" s="4">
        <v>2</v>
      </c>
      <c r="K59" s="4">
        <v>0</v>
      </c>
      <c r="L59" s="4">
        <v>-6</v>
      </c>
      <c r="M59" s="4">
        <v>0</v>
      </c>
      <c r="N59" s="4">
        <v>-10</v>
      </c>
      <c r="O59" s="4">
        <v>-9</v>
      </c>
      <c r="P59" s="4">
        <v>-12</v>
      </c>
      <c r="Q59" s="4">
        <v>-8</v>
      </c>
      <c r="R59" s="4">
        <v>-9</v>
      </c>
      <c r="S59" s="4">
        <v>-1</v>
      </c>
      <c r="T59" s="4">
        <v>-16</v>
      </c>
      <c r="U59" s="4">
        <v>-5</v>
      </c>
      <c r="V59" s="4">
        <v>-156</v>
      </c>
      <c r="Y59" s="3">
        <v>1931</v>
      </c>
      <c r="Z59" s="4">
        <v>-9</v>
      </c>
      <c r="AA59" s="4">
        <v>-10</v>
      </c>
      <c r="AB59" s="4">
        <v>5</v>
      </c>
      <c r="AC59" s="4">
        <v>3</v>
      </c>
      <c r="AD59" s="4">
        <v>0</v>
      </c>
      <c r="AE59" s="4">
        <v>8</v>
      </c>
      <c r="AF59" s="4">
        <v>-42</v>
      </c>
      <c r="AG59" s="4">
        <v>48</v>
      </c>
      <c r="AH59" s="4">
        <v>-31</v>
      </c>
      <c r="AI59" s="4">
        <v>-38</v>
      </c>
      <c r="AJ59" s="4">
        <v>-26</v>
      </c>
      <c r="AK59" s="4">
        <v>6</v>
      </c>
      <c r="AL59" s="4">
        <v>5</v>
      </c>
      <c r="AM59" s="4">
        <v>-23</v>
      </c>
      <c r="AN59" s="4">
        <v>-104</v>
      </c>
    </row>
    <row r="60" spans="3:40" x14ac:dyDescent="0.5">
      <c r="C60" s="3">
        <v>1932</v>
      </c>
      <c r="D60" s="4">
        <v>14</v>
      </c>
      <c r="E60" s="4">
        <v>-17</v>
      </c>
      <c r="F60" s="4">
        <v>-19</v>
      </c>
      <c r="G60" s="4">
        <v>-8</v>
      </c>
      <c r="H60" s="4">
        <v>-22</v>
      </c>
      <c r="I60" s="4">
        <v>-29</v>
      </c>
      <c r="J60" s="4">
        <v>-23</v>
      </c>
      <c r="K60" s="4">
        <v>-23</v>
      </c>
      <c r="L60" s="4">
        <v>-12</v>
      </c>
      <c r="M60" s="4">
        <v>-9</v>
      </c>
      <c r="N60" s="4">
        <v>-26</v>
      </c>
      <c r="O60" s="4">
        <v>-22</v>
      </c>
      <c r="P60" s="4">
        <v>-4</v>
      </c>
      <c r="Q60" s="4">
        <v>-15</v>
      </c>
      <c r="R60" s="4">
        <v>-16</v>
      </c>
      <c r="S60" s="4">
        <v>-25</v>
      </c>
      <c r="T60" s="4">
        <v>-16</v>
      </c>
      <c r="U60" s="4">
        <v>-16</v>
      </c>
      <c r="V60" s="4">
        <v>-288</v>
      </c>
      <c r="Y60" s="3">
        <v>1932</v>
      </c>
      <c r="Z60" s="4">
        <v>-16</v>
      </c>
      <c r="AA60" s="4">
        <v>-15</v>
      </c>
      <c r="AB60" s="4">
        <v>7</v>
      </c>
      <c r="AC60" s="4">
        <v>-17</v>
      </c>
      <c r="AD60" s="4">
        <v>-18</v>
      </c>
      <c r="AE60" s="4">
        <v>31</v>
      </c>
      <c r="AF60" s="4">
        <v>-25</v>
      </c>
      <c r="AG60" s="4">
        <v>25</v>
      </c>
      <c r="AH60" s="4">
        <v>-57</v>
      </c>
      <c r="AI60" s="4">
        <v>-38</v>
      </c>
      <c r="AJ60" s="4">
        <v>-81</v>
      </c>
      <c r="AK60" s="4">
        <v>-17</v>
      </c>
      <c r="AL60" s="4">
        <v>-3</v>
      </c>
      <c r="AM60" s="4">
        <v>-30</v>
      </c>
      <c r="AN60" s="4">
        <v>-254</v>
      </c>
    </row>
    <row r="61" spans="3:40" x14ac:dyDescent="0.5">
      <c r="C61" s="3">
        <v>1933</v>
      </c>
      <c r="D61" s="4">
        <v>-31</v>
      </c>
      <c r="E61" s="4">
        <v>-30</v>
      </c>
      <c r="F61" s="4">
        <v>-27</v>
      </c>
      <c r="G61" s="4">
        <v>-23</v>
      </c>
      <c r="H61" s="4">
        <v>-25</v>
      </c>
      <c r="I61" s="4">
        <v>-31</v>
      </c>
      <c r="J61" s="4">
        <v>-19</v>
      </c>
      <c r="K61" s="4">
        <v>-22</v>
      </c>
      <c r="L61" s="4">
        <v>-26</v>
      </c>
      <c r="M61" s="4">
        <v>-23</v>
      </c>
      <c r="N61" s="4">
        <v>-31</v>
      </c>
      <c r="O61" s="4">
        <v>-45</v>
      </c>
      <c r="P61" s="4">
        <v>-27</v>
      </c>
      <c r="Q61" s="4">
        <v>-26</v>
      </c>
      <c r="R61" s="4">
        <v>-28</v>
      </c>
      <c r="S61" s="4">
        <v>-24</v>
      </c>
      <c r="T61" s="4">
        <v>-25</v>
      </c>
      <c r="U61" s="4">
        <v>-27</v>
      </c>
      <c r="V61" s="4">
        <v>-490</v>
      </c>
      <c r="Y61" s="3">
        <v>1933</v>
      </c>
      <c r="Z61" s="4">
        <v>-28</v>
      </c>
      <c r="AA61" s="4">
        <v>-8</v>
      </c>
      <c r="AB61" s="4">
        <v>-21</v>
      </c>
      <c r="AC61" s="4">
        <v>-29</v>
      </c>
      <c r="AD61" s="4">
        <v>-29</v>
      </c>
      <c r="AE61" s="4">
        <v>-38</v>
      </c>
      <c r="AF61" s="4">
        <v>-22</v>
      </c>
      <c r="AG61" s="4">
        <v>-29</v>
      </c>
      <c r="AH61" s="4">
        <v>-46</v>
      </c>
      <c r="AI61" s="4">
        <v>-33</v>
      </c>
      <c r="AJ61" s="4">
        <v>-94</v>
      </c>
      <c r="AK61" s="4">
        <v>-29</v>
      </c>
      <c r="AL61" s="4">
        <v>-24</v>
      </c>
      <c r="AM61" s="4">
        <v>-31</v>
      </c>
      <c r="AN61" s="4">
        <v>-461</v>
      </c>
    </row>
    <row r="62" spans="3:40" x14ac:dyDescent="0.5">
      <c r="C62" s="3">
        <v>1934</v>
      </c>
      <c r="D62" s="4">
        <v>-25</v>
      </c>
      <c r="E62" s="4">
        <v>-3</v>
      </c>
      <c r="F62" s="4">
        <v>-28</v>
      </c>
      <c r="G62" s="4">
        <v>-26</v>
      </c>
      <c r="H62" s="4">
        <v>-10</v>
      </c>
      <c r="I62" s="4">
        <v>-13</v>
      </c>
      <c r="J62" s="4">
        <v>-10</v>
      </c>
      <c r="K62" s="4">
        <v>-9</v>
      </c>
      <c r="L62" s="4">
        <v>-15</v>
      </c>
      <c r="M62" s="4">
        <v>-10</v>
      </c>
      <c r="N62" s="4">
        <v>0</v>
      </c>
      <c r="O62" s="4">
        <v>-7</v>
      </c>
      <c r="P62" s="4">
        <v>-25</v>
      </c>
      <c r="Q62" s="4">
        <v>-16</v>
      </c>
      <c r="R62" s="4">
        <v>-13</v>
      </c>
      <c r="S62" s="4">
        <v>-11</v>
      </c>
      <c r="T62" s="4">
        <v>-22</v>
      </c>
      <c r="U62" s="4">
        <v>-8</v>
      </c>
      <c r="V62" s="4">
        <v>-251</v>
      </c>
      <c r="Y62" s="3">
        <v>1934</v>
      </c>
      <c r="Z62" s="4">
        <v>-13</v>
      </c>
      <c r="AA62" s="4">
        <v>-8</v>
      </c>
      <c r="AB62" s="4">
        <v>21</v>
      </c>
      <c r="AC62" s="4">
        <v>-27</v>
      </c>
      <c r="AD62" s="4">
        <v>-26</v>
      </c>
      <c r="AE62" s="4">
        <v>40</v>
      </c>
      <c r="AF62" s="4">
        <v>-23</v>
      </c>
      <c r="AG62" s="4">
        <v>74</v>
      </c>
      <c r="AH62" s="4">
        <v>-34</v>
      </c>
      <c r="AI62" s="4">
        <v>-28</v>
      </c>
      <c r="AJ62" s="4">
        <v>-31</v>
      </c>
      <c r="AK62" s="4">
        <v>-28</v>
      </c>
      <c r="AL62" s="4">
        <v>1</v>
      </c>
      <c r="AM62" s="4">
        <v>-27</v>
      </c>
      <c r="AN62" s="4">
        <v>-109</v>
      </c>
    </row>
    <row r="63" spans="3:40" x14ac:dyDescent="0.5">
      <c r="C63" s="3">
        <v>1935</v>
      </c>
      <c r="D63" s="4">
        <v>-37</v>
      </c>
      <c r="E63" s="4">
        <v>12</v>
      </c>
      <c r="F63" s="4">
        <v>-13</v>
      </c>
      <c r="G63" s="4">
        <v>-34</v>
      </c>
      <c r="H63" s="4">
        <v>-25</v>
      </c>
      <c r="I63" s="4">
        <v>-22</v>
      </c>
      <c r="J63" s="4">
        <v>-18</v>
      </c>
      <c r="K63" s="4">
        <v>-16</v>
      </c>
      <c r="L63" s="4">
        <v>-17</v>
      </c>
      <c r="M63" s="4">
        <v>-7</v>
      </c>
      <c r="N63" s="4">
        <v>-27</v>
      </c>
      <c r="O63" s="4">
        <v>-20</v>
      </c>
      <c r="P63" s="4">
        <v>-11</v>
      </c>
      <c r="Q63" s="4">
        <v>-18</v>
      </c>
      <c r="R63" s="4">
        <v>-19</v>
      </c>
      <c r="S63" s="4">
        <v>-19</v>
      </c>
      <c r="T63" s="4">
        <v>-24</v>
      </c>
      <c r="U63" s="4">
        <v>-17</v>
      </c>
      <c r="V63" s="4">
        <v>-332</v>
      </c>
      <c r="Y63" s="3">
        <v>1935</v>
      </c>
      <c r="Z63" s="4">
        <v>-19</v>
      </c>
      <c r="AA63" s="4">
        <v>-11</v>
      </c>
      <c r="AB63" s="4">
        <v>0</v>
      </c>
      <c r="AC63" s="4">
        <v>-22</v>
      </c>
      <c r="AD63" s="4">
        <v>-24</v>
      </c>
      <c r="AE63" s="4">
        <v>7</v>
      </c>
      <c r="AF63" s="4">
        <v>-29</v>
      </c>
      <c r="AG63" s="4">
        <v>22</v>
      </c>
      <c r="AH63" s="4">
        <v>-34</v>
      </c>
      <c r="AI63" s="4">
        <v>-33</v>
      </c>
      <c r="AJ63" s="4">
        <v>-139</v>
      </c>
      <c r="AK63" s="4">
        <v>-20</v>
      </c>
      <c r="AL63" s="4">
        <v>-8</v>
      </c>
      <c r="AM63" s="4">
        <v>-29</v>
      </c>
      <c r="AN63" s="4">
        <v>-339</v>
      </c>
    </row>
    <row r="64" spans="3:40" x14ac:dyDescent="0.5">
      <c r="C64" s="3">
        <v>1936</v>
      </c>
      <c r="D64" s="4">
        <v>-28</v>
      </c>
      <c r="E64" s="4">
        <v>-39</v>
      </c>
      <c r="F64" s="4">
        <v>-24</v>
      </c>
      <c r="G64" s="4">
        <v>-19</v>
      </c>
      <c r="H64" s="4">
        <v>-15</v>
      </c>
      <c r="I64" s="4">
        <v>-18</v>
      </c>
      <c r="J64" s="4">
        <v>-5</v>
      </c>
      <c r="K64" s="4">
        <v>-11</v>
      </c>
      <c r="L64" s="4">
        <v>-5</v>
      </c>
      <c r="M64" s="4">
        <v>-2</v>
      </c>
      <c r="N64" s="4">
        <v>-4</v>
      </c>
      <c r="O64" s="4">
        <v>-1</v>
      </c>
      <c r="P64" s="4">
        <v>-29</v>
      </c>
      <c r="Q64" s="4">
        <v>-16</v>
      </c>
      <c r="R64" s="4">
        <v>-14</v>
      </c>
      <c r="S64" s="4">
        <v>-11</v>
      </c>
      <c r="T64" s="4">
        <v>-20</v>
      </c>
      <c r="U64" s="4">
        <v>-3</v>
      </c>
      <c r="V64" s="4">
        <v>-264</v>
      </c>
      <c r="Y64" s="3">
        <v>1936</v>
      </c>
      <c r="Z64" s="4">
        <v>-14</v>
      </c>
      <c r="AA64" s="4">
        <v>-21</v>
      </c>
      <c r="AB64" s="4">
        <v>-1</v>
      </c>
      <c r="AC64" s="4">
        <v>-14</v>
      </c>
      <c r="AD64" s="4">
        <v>-23</v>
      </c>
      <c r="AE64" s="4">
        <v>18</v>
      </c>
      <c r="AF64" s="4">
        <v>-27</v>
      </c>
      <c r="AG64" s="4">
        <v>24</v>
      </c>
      <c r="AH64" s="4">
        <v>-28</v>
      </c>
      <c r="AI64" s="4">
        <v>-27</v>
      </c>
      <c r="AJ64" s="4">
        <v>26</v>
      </c>
      <c r="AK64" s="4">
        <v>-6</v>
      </c>
      <c r="AL64" s="4">
        <v>-3</v>
      </c>
      <c r="AM64" s="4">
        <v>-26</v>
      </c>
      <c r="AN64" s="4">
        <v>-122</v>
      </c>
    </row>
    <row r="65" spans="3:40" x14ac:dyDescent="0.5">
      <c r="C65" s="3">
        <v>1937</v>
      </c>
      <c r="D65" s="4">
        <v>-7</v>
      </c>
      <c r="E65" s="4">
        <v>7</v>
      </c>
      <c r="F65" s="4">
        <v>-16</v>
      </c>
      <c r="G65" s="4">
        <v>-16</v>
      </c>
      <c r="H65" s="4">
        <v>-6</v>
      </c>
      <c r="I65" s="4">
        <v>-7</v>
      </c>
      <c r="J65" s="4">
        <v>-3</v>
      </c>
      <c r="K65" s="4">
        <v>4</v>
      </c>
      <c r="L65" s="4">
        <v>15</v>
      </c>
      <c r="M65" s="4">
        <v>10</v>
      </c>
      <c r="N65" s="4">
        <v>11</v>
      </c>
      <c r="O65" s="4">
        <v>-9</v>
      </c>
      <c r="P65" s="4">
        <v>-1</v>
      </c>
      <c r="Q65" s="4">
        <v>-1</v>
      </c>
      <c r="R65" s="4">
        <v>-1</v>
      </c>
      <c r="S65" s="4">
        <v>-2</v>
      </c>
      <c r="T65" s="4">
        <v>-13</v>
      </c>
      <c r="U65" s="4">
        <v>12</v>
      </c>
      <c r="V65" s="4">
        <v>-23</v>
      </c>
      <c r="Y65" s="3">
        <v>1937</v>
      </c>
      <c r="Z65" s="4">
        <v>-1</v>
      </c>
      <c r="AA65" s="4">
        <v>2</v>
      </c>
      <c r="AB65" s="4">
        <v>21</v>
      </c>
      <c r="AC65" s="4">
        <v>-6</v>
      </c>
      <c r="AD65" s="4">
        <v>-14</v>
      </c>
      <c r="AE65" s="4">
        <v>8</v>
      </c>
      <c r="AF65" s="4">
        <v>-21</v>
      </c>
      <c r="AG65" s="4">
        <v>108</v>
      </c>
      <c r="AH65" s="4">
        <v>-14</v>
      </c>
      <c r="AI65" s="4">
        <v>-18</v>
      </c>
      <c r="AJ65" s="4">
        <v>74</v>
      </c>
      <c r="AK65" s="4">
        <v>2</v>
      </c>
      <c r="AL65" s="4">
        <v>13</v>
      </c>
      <c r="AM65" s="4">
        <v>-16</v>
      </c>
      <c r="AN65" s="4">
        <v>138</v>
      </c>
    </row>
    <row r="66" spans="3:40" x14ac:dyDescent="0.5">
      <c r="C66" s="3">
        <v>1938</v>
      </c>
      <c r="D66" s="4">
        <v>3</v>
      </c>
      <c r="E66" s="4">
        <v>-2</v>
      </c>
      <c r="F66" s="4">
        <v>6</v>
      </c>
      <c r="G66" s="4">
        <v>5</v>
      </c>
      <c r="H66" s="4">
        <v>-7</v>
      </c>
      <c r="I66" s="4">
        <v>-17</v>
      </c>
      <c r="J66" s="4">
        <v>-8</v>
      </c>
      <c r="K66" s="4">
        <v>-3</v>
      </c>
      <c r="L66" s="4">
        <v>4</v>
      </c>
      <c r="M66" s="4">
        <v>13</v>
      </c>
      <c r="N66" s="4">
        <v>3</v>
      </c>
      <c r="O66" s="4">
        <v>-23</v>
      </c>
      <c r="P66" s="4">
        <v>-3</v>
      </c>
      <c r="Q66" s="4">
        <v>-1</v>
      </c>
      <c r="R66" s="4">
        <v>-2</v>
      </c>
      <c r="S66" s="4">
        <v>-9</v>
      </c>
      <c r="T66" s="4">
        <v>2</v>
      </c>
      <c r="U66" s="4">
        <v>6</v>
      </c>
      <c r="V66" s="4">
        <v>-33</v>
      </c>
      <c r="Y66" s="3">
        <v>1938</v>
      </c>
      <c r="Z66" s="4">
        <v>-2</v>
      </c>
      <c r="AA66" s="4">
        <v>6</v>
      </c>
      <c r="AB66" s="4">
        <v>37</v>
      </c>
      <c r="AC66" s="4">
        <v>-26</v>
      </c>
      <c r="AD66" s="4">
        <v>-31</v>
      </c>
      <c r="AE66" s="4">
        <v>44</v>
      </c>
      <c r="AF66" s="4">
        <v>-9</v>
      </c>
      <c r="AG66" s="4">
        <v>123</v>
      </c>
      <c r="AH66" s="4">
        <v>-8</v>
      </c>
      <c r="AI66" s="4">
        <v>-10</v>
      </c>
      <c r="AJ66" s="4">
        <v>-72</v>
      </c>
      <c r="AK66" s="4">
        <v>-21</v>
      </c>
      <c r="AL66" s="4">
        <v>14</v>
      </c>
      <c r="AM66" s="4">
        <v>-18</v>
      </c>
      <c r="AN66" s="4">
        <v>27</v>
      </c>
    </row>
    <row r="67" spans="3:40" x14ac:dyDescent="0.5">
      <c r="C67" s="3">
        <v>1939</v>
      </c>
      <c r="D67" s="4">
        <v>-12</v>
      </c>
      <c r="E67" s="4">
        <v>-11</v>
      </c>
      <c r="F67" s="4">
        <v>-19</v>
      </c>
      <c r="G67" s="4">
        <v>-12</v>
      </c>
      <c r="H67" s="4">
        <v>-7</v>
      </c>
      <c r="I67" s="4">
        <v>-8</v>
      </c>
      <c r="J67" s="4">
        <v>-5</v>
      </c>
      <c r="K67" s="4">
        <v>-4</v>
      </c>
      <c r="L67" s="4">
        <v>1</v>
      </c>
      <c r="M67" s="4">
        <v>-3</v>
      </c>
      <c r="N67" s="4">
        <v>7</v>
      </c>
      <c r="O67" s="4">
        <v>41</v>
      </c>
      <c r="P67" s="4">
        <v>-15</v>
      </c>
      <c r="Q67" s="4">
        <v>-8</v>
      </c>
      <c r="R67" s="4">
        <v>-3</v>
      </c>
      <c r="S67" s="4">
        <v>-5</v>
      </c>
      <c r="T67" s="4">
        <v>-13</v>
      </c>
      <c r="U67" s="4">
        <v>2</v>
      </c>
      <c r="V67" s="4">
        <v>-74</v>
      </c>
      <c r="Y67" s="3">
        <v>1939</v>
      </c>
      <c r="Z67" s="4">
        <v>-3</v>
      </c>
      <c r="AA67" s="4">
        <v>10</v>
      </c>
      <c r="AB67" s="4">
        <v>24</v>
      </c>
      <c r="AC67" s="4">
        <v>-17</v>
      </c>
      <c r="AD67" s="4">
        <v>-18</v>
      </c>
      <c r="AE67" s="4">
        <v>33</v>
      </c>
      <c r="AF67" s="4">
        <v>-5</v>
      </c>
      <c r="AG67" s="4">
        <v>51</v>
      </c>
      <c r="AH67" s="4">
        <v>-10</v>
      </c>
      <c r="AI67" s="4">
        <v>-9</v>
      </c>
      <c r="AJ67" s="4">
        <v>-155</v>
      </c>
      <c r="AK67" s="4">
        <v>-17</v>
      </c>
      <c r="AL67" s="4">
        <v>7</v>
      </c>
      <c r="AM67" s="4">
        <v>-13</v>
      </c>
      <c r="AN67" s="4">
        <v>-122</v>
      </c>
    </row>
    <row r="68" spans="3:40" x14ac:dyDescent="0.5">
      <c r="C68" s="3">
        <v>1940</v>
      </c>
      <c r="D68" s="4">
        <v>-13</v>
      </c>
      <c r="E68" s="4">
        <v>6</v>
      </c>
      <c r="F68" s="4">
        <v>12</v>
      </c>
      <c r="G68" s="4">
        <v>16</v>
      </c>
      <c r="H68" s="4">
        <v>6</v>
      </c>
      <c r="I68" s="4">
        <v>6</v>
      </c>
      <c r="J68" s="4">
        <v>11</v>
      </c>
      <c r="K68" s="4">
        <v>1</v>
      </c>
      <c r="L68" s="4">
        <v>12</v>
      </c>
      <c r="M68" s="4">
        <v>8</v>
      </c>
      <c r="N68" s="4">
        <v>13</v>
      </c>
      <c r="O68" s="4">
        <v>20</v>
      </c>
      <c r="P68" s="4">
        <v>11</v>
      </c>
      <c r="Q68" s="4">
        <v>10</v>
      </c>
      <c r="R68" s="4">
        <v>8</v>
      </c>
      <c r="S68" s="4">
        <v>6</v>
      </c>
      <c r="T68" s="4">
        <v>11</v>
      </c>
      <c r="U68" s="4">
        <v>11</v>
      </c>
      <c r="V68" s="4">
        <v>155</v>
      </c>
      <c r="Y68" s="3">
        <v>1940</v>
      </c>
      <c r="Z68" s="4">
        <v>8</v>
      </c>
      <c r="AA68" s="4">
        <v>-10</v>
      </c>
      <c r="AB68" s="4">
        <v>10</v>
      </c>
      <c r="AC68" s="4">
        <v>19</v>
      </c>
      <c r="AD68" s="4">
        <v>18</v>
      </c>
      <c r="AE68" s="4">
        <v>3</v>
      </c>
      <c r="AF68" s="4">
        <v>1</v>
      </c>
      <c r="AG68" s="4">
        <v>88</v>
      </c>
      <c r="AH68" s="4">
        <v>-21</v>
      </c>
      <c r="AI68" s="4">
        <v>-7</v>
      </c>
      <c r="AJ68" s="4">
        <v>16</v>
      </c>
      <c r="AK68" s="4">
        <v>19</v>
      </c>
      <c r="AL68" s="4">
        <v>14</v>
      </c>
      <c r="AM68" s="4">
        <v>3</v>
      </c>
      <c r="AN68" s="4">
        <v>161</v>
      </c>
    </row>
    <row r="69" spans="3:40" x14ac:dyDescent="0.5">
      <c r="C69" s="3">
        <v>1941</v>
      </c>
      <c r="D69" s="4">
        <v>13</v>
      </c>
      <c r="E69" s="4">
        <v>23</v>
      </c>
      <c r="F69" s="4">
        <v>6</v>
      </c>
      <c r="G69" s="4">
        <v>11</v>
      </c>
      <c r="H69" s="4">
        <v>10</v>
      </c>
      <c r="I69" s="4">
        <v>4</v>
      </c>
      <c r="J69" s="4">
        <v>16</v>
      </c>
      <c r="K69" s="4">
        <v>15</v>
      </c>
      <c r="L69" s="4">
        <v>3</v>
      </c>
      <c r="M69" s="4">
        <v>25</v>
      </c>
      <c r="N69" s="4">
        <v>13</v>
      </c>
      <c r="O69" s="4">
        <v>15</v>
      </c>
      <c r="P69" s="4">
        <v>19</v>
      </c>
      <c r="Q69" s="4">
        <v>13</v>
      </c>
      <c r="R69" s="4">
        <v>13</v>
      </c>
      <c r="S69" s="4">
        <v>12</v>
      </c>
      <c r="T69" s="4">
        <v>9</v>
      </c>
      <c r="U69" s="4">
        <v>14</v>
      </c>
      <c r="V69" s="4">
        <v>234</v>
      </c>
      <c r="Y69" s="3">
        <v>1941</v>
      </c>
      <c r="Z69" s="4">
        <v>13</v>
      </c>
      <c r="AA69" s="4">
        <v>7</v>
      </c>
      <c r="AB69" s="4">
        <v>-3</v>
      </c>
      <c r="AC69" s="4">
        <v>39</v>
      </c>
      <c r="AD69" s="4">
        <v>34</v>
      </c>
      <c r="AE69" s="4">
        <v>-11</v>
      </c>
      <c r="AF69" s="4">
        <v>2</v>
      </c>
      <c r="AG69" s="4">
        <v>-21</v>
      </c>
      <c r="AH69" s="4">
        <v>-18</v>
      </c>
      <c r="AI69" s="4">
        <v>-6</v>
      </c>
      <c r="AJ69" s="4">
        <v>-26</v>
      </c>
      <c r="AK69" s="4">
        <v>44</v>
      </c>
      <c r="AL69" s="4">
        <v>16</v>
      </c>
      <c r="AM69" s="4">
        <v>10</v>
      </c>
      <c r="AN69" s="4">
        <v>80</v>
      </c>
    </row>
    <row r="70" spans="3:40" x14ac:dyDescent="0.5">
      <c r="C70" s="3">
        <v>1942</v>
      </c>
      <c r="D70" s="4">
        <v>29</v>
      </c>
      <c r="E70" s="4">
        <v>7</v>
      </c>
      <c r="F70" s="4">
        <v>12</v>
      </c>
      <c r="G70" s="4">
        <v>14</v>
      </c>
      <c r="H70" s="4">
        <v>15</v>
      </c>
      <c r="I70" s="4">
        <v>12</v>
      </c>
      <c r="J70" s="4">
        <v>3</v>
      </c>
      <c r="K70" s="4">
        <v>-2</v>
      </c>
      <c r="L70" s="4">
        <v>0</v>
      </c>
      <c r="M70" s="4">
        <v>8</v>
      </c>
      <c r="N70" s="4">
        <v>14</v>
      </c>
      <c r="O70" s="4">
        <v>14</v>
      </c>
      <c r="P70" s="4">
        <v>17</v>
      </c>
      <c r="Q70" s="4">
        <v>10</v>
      </c>
      <c r="R70" s="4">
        <v>10</v>
      </c>
      <c r="S70" s="4">
        <v>4</v>
      </c>
      <c r="T70" s="4">
        <v>13</v>
      </c>
      <c r="U70" s="4">
        <v>7</v>
      </c>
      <c r="V70" s="4">
        <v>187</v>
      </c>
      <c r="Y70" s="3">
        <v>1942</v>
      </c>
      <c r="Z70" s="4">
        <v>10</v>
      </c>
      <c r="AA70" s="4">
        <v>15</v>
      </c>
      <c r="AB70" s="4">
        <v>14</v>
      </c>
      <c r="AC70" s="4">
        <v>15</v>
      </c>
      <c r="AD70" s="4">
        <v>14</v>
      </c>
      <c r="AE70" s="4">
        <v>0</v>
      </c>
      <c r="AF70" s="4">
        <v>8</v>
      </c>
      <c r="AG70" s="4">
        <v>36</v>
      </c>
      <c r="AH70" s="4">
        <v>-5</v>
      </c>
      <c r="AI70" s="4">
        <v>1</v>
      </c>
      <c r="AJ70" s="4">
        <v>-69</v>
      </c>
      <c r="AK70" s="4">
        <v>15</v>
      </c>
      <c r="AL70" s="4">
        <v>14</v>
      </c>
      <c r="AM70" s="4">
        <v>6</v>
      </c>
      <c r="AN70" s="4">
        <v>74</v>
      </c>
    </row>
    <row r="71" spans="3:40" x14ac:dyDescent="0.5">
      <c r="C71" s="3">
        <v>1943</v>
      </c>
      <c r="D71" s="4">
        <v>1</v>
      </c>
      <c r="E71" s="4">
        <v>23</v>
      </c>
      <c r="F71" s="4">
        <v>3</v>
      </c>
      <c r="G71" s="4">
        <v>15</v>
      </c>
      <c r="H71" s="4">
        <v>11</v>
      </c>
      <c r="I71" s="4">
        <v>1</v>
      </c>
      <c r="J71" s="4">
        <v>15</v>
      </c>
      <c r="K71" s="4">
        <v>4</v>
      </c>
      <c r="L71" s="4">
        <v>12</v>
      </c>
      <c r="M71" s="4">
        <v>31</v>
      </c>
      <c r="N71" s="4">
        <v>27</v>
      </c>
      <c r="O71" s="4">
        <v>29</v>
      </c>
      <c r="P71" s="4">
        <v>12</v>
      </c>
      <c r="Q71" s="4">
        <v>13</v>
      </c>
      <c r="R71" s="4">
        <v>14</v>
      </c>
      <c r="S71" s="4">
        <v>7</v>
      </c>
      <c r="T71" s="4">
        <v>9</v>
      </c>
      <c r="U71" s="4">
        <v>23</v>
      </c>
      <c r="V71" s="4">
        <v>250</v>
      </c>
      <c r="Y71" s="3">
        <v>1943</v>
      </c>
      <c r="Z71" s="4">
        <v>14</v>
      </c>
      <c r="AA71" s="4">
        <v>16</v>
      </c>
      <c r="AB71" s="4">
        <v>38</v>
      </c>
      <c r="AC71" s="4">
        <v>0</v>
      </c>
      <c r="AD71" s="4">
        <v>5</v>
      </c>
      <c r="AE71" s="4">
        <v>33</v>
      </c>
      <c r="AF71" s="4">
        <v>13</v>
      </c>
      <c r="AG71" s="4">
        <v>118</v>
      </c>
      <c r="AH71" s="4">
        <v>1</v>
      </c>
      <c r="AI71" s="4">
        <v>9</v>
      </c>
      <c r="AJ71" s="4">
        <v>136</v>
      </c>
      <c r="AK71" s="4">
        <v>-4</v>
      </c>
      <c r="AL71" s="4">
        <v>21</v>
      </c>
      <c r="AM71" s="4">
        <v>7</v>
      </c>
      <c r="AN71" s="4">
        <v>407</v>
      </c>
    </row>
    <row r="72" spans="3:40" x14ac:dyDescent="0.5">
      <c r="C72" s="3">
        <v>1944</v>
      </c>
      <c r="D72" s="4">
        <v>42</v>
      </c>
      <c r="E72" s="4">
        <v>32</v>
      </c>
      <c r="F72" s="4">
        <v>35</v>
      </c>
      <c r="G72" s="4">
        <v>27</v>
      </c>
      <c r="H72" s="4">
        <v>26</v>
      </c>
      <c r="I72" s="4">
        <v>21</v>
      </c>
      <c r="J72" s="4">
        <v>23</v>
      </c>
      <c r="K72" s="4">
        <v>23</v>
      </c>
      <c r="L72" s="4">
        <v>31</v>
      </c>
      <c r="M72" s="4">
        <v>28</v>
      </c>
      <c r="N72" s="4">
        <v>14</v>
      </c>
      <c r="O72" s="4">
        <v>8</v>
      </c>
      <c r="P72" s="4">
        <v>34</v>
      </c>
      <c r="Q72" s="4">
        <v>28</v>
      </c>
      <c r="R72" s="4">
        <v>26</v>
      </c>
      <c r="S72" s="4">
        <v>22</v>
      </c>
      <c r="T72" s="4">
        <v>30</v>
      </c>
      <c r="U72" s="4">
        <v>24</v>
      </c>
      <c r="V72" s="4">
        <v>474</v>
      </c>
      <c r="Y72" s="3">
        <v>1944</v>
      </c>
      <c r="Z72" s="4">
        <v>26</v>
      </c>
      <c r="AA72" s="4">
        <v>14</v>
      </c>
      <c r="AB72" s="4">
        <v>39</v>
      </c>
      <c r="AC72" s="4">
        <v>22</v>
      </c>
      <c r="AD72" s="4">
        <v>32</v>
      </c>
      <c r="AE72" s="4">
        <v>50</v>
      </c>
      <c r="AF72" s="4">
        <v>32</v>
      </c>
      <c r="AG72" s="4">
        <v>103</v>
      </c>
      <c r="AH72" s="4">
        <v>-1</v>
      </c>
      <c r="AI72" s="4">
        <v>18</v>
      </c>
      <c r="AJ72" s="4">
        <v>-49</v>
      </c>
      <c r="AK72" s="4">
        <v>11</v>
      </c>
      <c r="AL72" s="4">
        <v>28</v>
      </c>
      <c r="AM72" s="4">
        <v>24</v>
      </c>
      <c r="AN72" s="4">
        <v>349</v>
      </c>
    </row>
    <row r="73" spans="3:40" x14ac:dyDescent="0.5">
      <c r="C73" s="3">
        <v>1945</v>
      </c>
      <c r="D73" s="4">
        <v>15</v>
      </c>
      <c r="E73" s="4">
        <v>5</v>
      </c>
      <c r="F73" s="4">
        <v>11</v>
      </c>
      <c r="G73" s="4">
        <v>25</v>
      </c>
      <c r="H73" s="4">
        <v>11</v>
      </c>
      <c r="I73" s="4">
        <v>3</v>
      </c>
      <c r="J73" s="4">
        <v>8</v>
      </c>
      <c r="K73" s="4">
        <v>26</v>
      </c>
      <c r="L73" s="4">
        <v>22</v>
      </c>
      <c r="M73" s="4">
        <v>22</v>
      </c>
      <c r="N73" s="4">
        <v>10</v>
      </c>
      <c r="O73" s="4">
        <v>-8</v>
      </c>
      <c r="P73" s="4">
        <v>10</v>
      </c>
      <c r="Q73" s="4">
        <v>14</v>
      </c>
      <c r="R73" s="4">
        <v>13</v>
      </c>
      <c r="S73" s="4">
        <v>13</v>
      </c>
      <c r="T73" s="4">
        <v>16</v>
      </c>
      <c r="U73" s="4">
        <v>18</v>
      </c>
      <c r="V73" s="4">
        <v>234</v>
      </c>
      <c r="Y73" s="3">
        <v>1945</v>
      </c>
      <c r="Z73" s="4">
        <v>13</v>
      </c>
      <c r="AA73" s="4">
        <v>6</v>
      </c>
      <c r="AB73" s="4">
        <v>10</v>
      </c>
      <c r="AC73" s="4">
        <v>22</v>
      </c>
      <c r="AD73" s="4">
        <v>35</v>
      </c>
      <c r="AE73" s="4">
        <v>-1</v>
      </c>
      <c r="AF73" s="4">
        <v>14</v>
      </c>
      <c r="AG73" s="4">
        <v>45</v>
      </c>
      <c r="AH73" s="4">
        <v>-4</v>
      </c>
      <c r="AI73" s="4">
        <v>3</v>
      </c>
      <c r="AJ73" s="4">
        <v>-143</v>
      </c>
      <c r="AK73" s="4">
        <v>9</v>
      </c>
      <c r="AL73" s="4">
        <v>9</v>
      </c>
      <c r="AM73" s="4">
        <v>16</v>
      </c>
      <c r="AN73" s="4">
        <v>34</v>
      </c>
    </row>
    <row r="74" spans="3:40" x14ac:dyDescent="0.5">
      <c r="C74" s="3">
        <v>1946</v>
      </c>
      <c r="D74" s="4">
        <v>17</v>
      </c>
      <c r="E74" s="4">
        <v>6</v>
      </c>
      <c r="F74" s="4">
        <v>0</v>
      </c>
      <c r="G74" s="4">
        <v>12</v>
      </c>
      <c r="H74" s="4">
        <v>-2</v>
      </c>
      <c r="I74" s="4">
        <v>-15</v>
      </c>
      <c r="J74" s="4">
        <v>-7</v>
      </c>
      <c r="K74" s="4">
        <v>-9</v>
      </c>
      <c r="L74" s="4">
        <v>-2</v>
      </c>
      <c r="M74" s="4">
        <v>-6</v>
      </c>
      <c r="N74" s="4">
        <v>-1</v>
      </c>
      <c r="O74" s="4">
        <v>-27</v>
      </c>
      <c r="P74" s="4">
        <v>5</v>
      </c>
      <c r="Q74" s="4">
        <v>-1</v>
      </c>
      <c r="R74" s="4">
        <v>-3</v>
      </c>
      <c r="S74" s="4">
        <v>-10</v>
      </c>
      <c r="T74" s="4">
        <v>3</v>
      </c>
      <c r="U74" s="4">
        <v>-3</v>
      </c>
      <c r="V74" s="4">
        <v>-43</v>
      </c>
      <c r="Y74" s="3">
        <v>1946</v>
      </c>
      <c r="Z74" s="4">
        <v>-3</v>
      </c>
      <c r="AA74" s="4">
        <v>20</v>
      </c>
      <c r="AB74" s="4">
        <v>8</v>
      </c>
      <c r="AC74" s="4">
        <v>-1</v>
      </c>
      <c r="AD74" s="4">
        <v>-7</v>
      </c>
      <c r="AE74" s="4">
        <v>2</v>
      </c>
      <c r="AF74" s="4">
        <v>-18</v>
      </c>
      <c r="AG74" s="4">
        <v>-15</v>
      </c>
      <c r="AH74" s="4">
        <v>-16</v>
      </c>
      <c r="AI74" s="4">
        <v>-16</v>
      </c>
      <c r="AJ74" s="4">
        <v>41</v>
      </c>
      <c r="AK74" s="4">
        <v>5</v>
      </c>
      <c r="AL74" s="4">
        <v>7</v>
      </c>
      <c r="AM74" s="4">
        <v>-12</v>
      </c>
      <c r="AN74" s="4">
        <v>-5</v>
      </c>
    </row>
    <row r="75" spans="3:40" x14ac:dyDescent="0.5">
      <c r="C75" s="3">
        <v>1947</v>
      </c>
      <c r="D75" s="4">
        <v>-8</v>
      </c>
      <c r="E75" s="4">
        <v>-4</v>
      </c>
      <c r="F75" s="4">
        <v>7</v>
      </c>
      <c r="G75" s="4">
        <v>5</v>
      </c>
      <c r="H75" s="4">
        <v>-6</v>
      </c>
      <c r="I75" s="4">
        <v>-2</v>
      </c>
      <c r="J75" s="4">
        <v>-3</v>
      </c>
      <c r="K75" s="4">
        <v>-7</v>
      </c>
      <c r="L75" s="4">
        <v>-14</v>
      </c>
      <c r="M75" s="4">
        <v>7</v>
      </c>
      <c r="N75" s="4">
        <v>0</v>
      </c>
      <c r="O75" s="4">
        <v>-15</v>
      </c>
      <c r="P75" s="4">
        <v>-13</v>
      </c>
      <c r="Q75" s="4">
        <v>-4</v>
      </c>
      <c r="R75" s="4">
        <v>-3</v>
      </c>
      <c r="S75" s="4">
        <v>-4</v>
      </c>
      <c r="T75" s="4">
        <v>2</v>
      </c>
      <c r="U75" s="4">
        <v>-2</v>
      </c>
      <c r="V75" s="4">
        <v>-64</v>
      </c>
      <c r="Y75" s="3">
        <v>1947</v>
      </c>
      <c r="Z75" s="4">
        <v>-3</v>
      </c>
      <c r="AA75" s="4">
        <v>6</v>
      </c>
      <c r="AB75" s="4">
        <v>14</v>
      </c>
      <c r="AC75" s="4">
        <v>-9</v>
      </c>
      <c r="AD75" s="4">
        <v>-9</v>
      </c>
      <c r="AE75" s="4">
        <v>-15</v>
      </c>
      <c r="AF75" s="4">
        <v>-16</v>
      </c>
      <c r="AG75" s="4">
        <v>100</v>
      </c>
      <c r="AH75" s="4">
        <v>-11</v>
      </c>
      <c r="AI75" s="4">
        <v>-13</v>
      </c>
      <c r="AJ75" s="4">
        <v>28</v>
      </c>
      <c r="AK75" s="4">
        <v>-9</v>
      </c>
      <c r="AL75" s="4">
        <v>5</v>
      </c>
      <c r="AM75" s="4">
        <v>-12</v>
      </c>
      <c r="AN75" s="4">
        <v>56</v>
      </c>
    </row>
    <row r="76" spans="3:40" x14ac:dyDescent="0.5">
      <c r="C76" s="3">
        <v>1948</v>
      </c>
      <c r="D76" s="4">
        <v>6</v>
      </c>
      <c r="E76" s="4">
        <v>-12</v>
      </c>
      <c r="F76" s="4">
        <v>-23</v>
      </c>
      <c r="G76" s="4">
        <v>-9</v>
      </c>
      <c r="H76" s="4">
        <v>6</v>
      </c>
      <c r="I76" s="4">
        <v>-5</v>
      </c>
      <c r="J76" s="4">
        <v>-13</v>
      </c>
      <c r="K76" s="4">
        <v>-9</v>
      </c>
      <c r="L76" s="4">
        <v>-13</v>
      </c>
      <c r="M76" s="4">
        <v>-6</v>
      </c>
      <c r="N76" s="4">
        <v>-9</v>
      </c>
      <c r="O76" s="4">
        <v>-20</v>
      </c>
      <c r="P76" s="4">
        <v>-7</v>
      </c>
      <c r="Q76" s="4">
        <v>-9</v>
      </c>
      <c r="R76" s="4">
        <v>-9</v>
      </c>
      <c r="S76" s="4">
        <v>-9</v>
      </c>
      <c r="T76" s="4">
        <v>-9</v>
      </c>
      <c r="U76" s="4">
        <v>-9</v>
      </c>
      <c r="V76" s="4">
        <v>-159</v>
      </c>
      <c r="Y76" s="3">
        <v>1948</v>
      </c>
      <c r="Z76" s="4">
        <v>-9</v>
      </c>
      <c r="AA76" s="4">
        <v>2</v>
      </c>
      <c r="AB76" s="4">
        <v>14</v>
      </c>
      <c r="AC76" s="4">
        <v>-18</v>
      </c>
      <c r="AD76" s="4">
        <v>-14</v>
      </c>
      <c r="AE76" s="4">
        <v>36</v>
      </c>
      <c r="AF76" s="4">
        <v>-19</v>
      </c>
      <c r="AG76" s="4">
        <v>8</v>
      </c>
      <c r="AH76" s="4">
        <v>-16</v>
      </c>
      <c r="AI76" s="4">
        <v>-20</v>
      </c>
      <c r="AJ76" s="4">
        <v>-83</v>
      </c>
      <c r="AK76" s="4">
        <v>-22</v>
      </c>
      <c r="AL76" s="4">
        <v>0</v>
      </c>
      <c r="AM76" s="4">
        <v>-18</v>
      </c>
      <c r="AN76" s="4">
        <v>-159</v>
      </c>
    </row>
    <row r="77" spans="3:40" x14ac:dyDescent="0.5">
      <c r="C77" s="3">
        <v>1949</v>
      </c>
      <c r="D77" s="4">
        <v>10</v>
      </c>
      <c r="E77" s="4">
        <v>-16</v>
      </c>
      <c r="F77" s="4">
        <v>-1</v>
      </c>
      <c r="G77" s="4">
        <v>-7</v>
      </c>
      <c r="H77" s="4">
        <v>-10</v>
      </c>
      <c r="I77" s="4">
        <v>-25</v>
      </c>
      <c r="J77" s="4">
        <v>-13</v>
      </c>
      <c r="K77" s="4">
        <v>-9</v>
      </c>
      <c r="L77" s="4">
        <v>-9</v>
      </c>
      <c r="M77" s="4">
        <v>-3</v>
      </c>
      <c r="N77" s="4">
        <v>-8</v>
      </c>
      <c r="O77" s="4">
        <v>-15</v>
      </c>
      <c r="P77" s="4">
        <v>-9</v>
      </c>
      <c r="Q77" s="4">
        <v>-9</v>
      </c>
      <c r="R77" s="4">
        <v>-9</v>
      </c>
      <c r="S77" s="4">
        <v>-16</v>
      </c>
      <c r="T77" s="4">
        <v>-6</v>
      </c>
      <c r="U77" s="4">
        <v>-7</v>
      </c>
      <c r="V77" s="4">
        <v>-162</v>
      </c>
      <c r="Y77" s="3">
        <v>1949</v>
      </c>
      <c r="Z77" s="4">
        <v>-9</v>
      </c>
      <c r="AA77" s="4">
        <v>7</v>
      </c>
      <c r="AB77" s="4">
        <v>12</v>
      </c>
      <c r="AC77" s="4">
        <v>-18</v>
      </c>
      <c r="AD77" s="4">
        <v>-13</v>
      </c>
      <c r="AE77" s="4">
        <v>17</v>
      </c>
      <c r="AF77" s="4">
        <v>-15</v>
      </c>
      <c r="AG77" s="4">
        <v>22</v>
      </c>
      <c r="AH77" s="4">
        <v>-13</v>
      </c>
      <c r="AI77" s="4">
        <v>-19</v>
      </c>
      <c r="AJ77" s="4">
        <v>-152</v>
      </c>
      <c r="AK77" s="4">
        <v>-22</v>
      </c>
      <c r="AL77" s="4">
        <v>-2</v>
      </c>
      <c r="AM77" s="4">
        <v>-16</v>
      </c>
      <c r="AN77" s="4">
        <v>-221</v>
      </c>
    </row>
    <row r="78" spans="3:40" x14ac:dyDescent="0.5">
      <c r="C78" s="3">
        <v>1950</v>
      </c>
      <c r="D78" s="4">
        <v>-27</v>
      </c>
      <c r="E78" s="4">
        <v>-27</v>
      </c>
      <c r="F78" s="4">
        <v>-8</v>
      </c>
      <c r="G78" s="4">
        <v>-21</v>
      </c>
      <c r="H78" s="4">
        <v>-12</v>
      </c>
      <c r="I78" s="4">
        <v>-8</v>
      </c>
      <c r="J78" s="4">
        <v>-9</v>
      </c>
      <c r="K78" s="4">
        <v>-18</v>
      </c>
      <c r="L78" s="4">
        <v>-10</v>
      </c>
      <c r="M78" s="4">
        <v>-18</v>
      </c>
      <c r="N78" s="4">
        <v>-34</v>
      </c>
      <c r="O78" s="4">
        <v>-19</v>
      </c>
      <c r="P78" s="4">
        <v>-23</v>
      </c>
      <c r="Q78" s="4">
        <v>-17</v>
      </c>
      <c r="R78" s="4">
        <v>-18</v>
      </c>
      <c r="S78" s="4">
        <v>-12</v>
      </c>
      <c r="T78" s="4">
        <v>-14</v>
      </c>
      <c r="U78" s="4">
        <v>-21</v>
      </c>
      <c r="V78" s="4">
        <v>-316</v>
      </c>
      <c r="Y78" s="3">
        <v>1950</v>
      </c>
      <c r="Z78" s="4">
        <v>-18</v>
      </c>
      <c r="AA78" s="4">
        <v>4</v>
      </c>
      <c r="AB78" s="4">
        <v>-8</v>
      </c>
      <c r="AC78" s="4">
        <v>-27</v>
      </c>
      <c r="AD78" s="4">
        <v>-26</v>
      </c>
      <c r="AE78" s="4">
        <v>-34</v>
      </c>
      <c r="AF78" s="4">
        <v>-5</v>
      </c>
      <c r="AG78" s="4">
        <v>4</v>
      </c>
      <c r="AH78" s="4">
        <v>-21</v>
      </c>
      <c r="AI78" s="4">
        <v>-14</v>
      </c>
      <c r="AJ78" s="4">
        <v>-68</v>
      </c>
      <c r="AK78" s="4">
        <v>-28</v>
      </c>
      <c r="AL78" s="4">
        <v>-16</v>
      </c>
      <c r="AM78" s="4">
        <v>-19</v>
      </c>
      <c r="AN78" s="4">
        <v>-276</v>
      </c>
    </row>
    <row r="79" spans="3:40" x14ac:dyDescent="0.5">
      <c r="C79" s="3">
        <v>1951</v>
      </c>
      <c r="D79" s="4">
        <v>-35</v>
      </c>
      <c r="E79" s="4">
        <v>-43</v>
      </c>
      <c r="F79" s="4">
        <v>-19</v>
      </c>
      <c r="G79" s="4">
        <v>-11</v>
      </c>
      <c r="H79" s="4">
        <v>-1</v>
      </c>
      <c r="I79" s="4">
        <v>-7</v>
      </c>
      <c r="J79" s="4">
        <v>-2</v>
      </c>
      <c r="K79" s="4">
        <v>6</v>
      </c>
      <c r="L79" s="4">
        <v>4</v>
      </c>
      <c r="M79" s="4">
        <v>9</v>
      </c>
      <c r="N79" s="4">
        <v>1</v>
      </c>
      <c r="O79" s="4">
        <v>16</v>
      </c>
      <c r="P79" s="4">
        <v>-32</v>
      </c>
      <c r="Q79" s="4">
        <v>-10</v>
      </c>
      <c r="R79" s="4">
        <v>-7</v>
      </c>
      <c r="S79" s="4">
        <v>-1</v>
      </c>
      <c r="T79" s="4">
        <v>-10</v>
      </c>
      <c r="U79" s="4">
        <v>5</v>
      </c>
      <c r="V79" s="4">
        <v>-137</v>
      </c>
      <c r="Y79" s="3">
        <v>1951</v>
      </c>
      <c r="Z79" s="4">
        <v>-7</v>
      </c>
      <c r="AA79" s="4">
        <v>12</v>
      </c>
      <c r="AB79" s="4">
        <v>7</v>
      </c>
      <c r="AC79" s="4">
        <v>-6</v>
      </c>
      <c r="AD79" s="4">
        <v>-13</v>
      </c>
      <c r="AE79" s="4">
        <v>3</v>
      </c>
      <c r="AF79" s="4">
        <v>-20</v>
      </c>
      <c r="AG79" s="4">
        <v>1</v>
      </c>
      <c r="AH79" s="4">
        <v>-21</v>
      </c>
      <c r="AI79" s="4">
        <v>-22</v>
      </c>
      <c r="AJ79" s="4">
        <v>-48</v>
      </c>
      <c r="AK79" s="4">
        <v>1</v>
      </c>
      <c r="AL79" s="4">
        <v>5</v>
      </c>
      <c r="AM79" s="4">
        <v>-18</v>
      </c>
      <c r="AN79" s="4">
        <v>-126</v>
      </c>
    </row>
    <row r="80" spans="3:40" x14ac:dyDescent="0.5">
      <c r="C80" s="3">
        <v>1952</v>
      </c>
      <c r="D80" s="4">
        <v>16</v>
      </c>
      <c r="E80" s="4">
        <v>13</v>
      </c>
      <c r="F80" s="4">
        <v>-9</v>
      </c>
      <c r="G80" s="4">
        <v>2</v>
      </c>
      <c r="H80" s="4">
        <v>-5</v>
      </c>
      <c r="I80" s="4">
        <v>-4</v>
      </c>
      <c r="J80" s="4">
        <v>6</v>
      </c>
      <c r="K80" s="4">
        <v>8</v>
      </c>
      <c r="L80" s="4">
        <v>8</v>
      </c>
      <c r="M80" s="4">
        <v>-3</v>
      </c>
      <c r="N80" s="4">
        <v>-16</v>
      </c>
      <c r="O80" s="4">
        <v>-2</v>
      </c>
      <c r="P80" s="4">
        <v>15</v>
      </c>
      <c r="Q80" s="4">
        <v>3</v>
      </c>
      <c r="R80" s="4">
        <v>1</v>
      </c>
      <c r="S80" s="4">
        <v>3</v>
      </c>
      <c r="T80" s="4">
        <v>-4</v>
      </c>
      <c r="U80" s="4">
        <v>-4</v>
      </c>
      <c r="V80" s="4">
        <v>28</v>
      </c>
      <c r="Y80" s="3">
        <v>1952</v>
      </c>
      <c r="Z80" s="4">
        <v>1</v>
      </c>
      <c r="AA80" s="4">
        <v>18</v>
      </c>
      <c r="AB80" s="4">
        <v>9</v>
      </c>
      <c r="AC80" s="4">
        <v>2</v>
      </c>
      <c r="AD80" s="4">
        <v>3</v>
      </c>
      <c r="AE80" s="4">
        <v>-7</v>
      </c>
      <c r="AF80" s="4">
        <v>-9</v>
      </c>
      <c r="AG80" s="4">
        <v>10</v>
      </c>
      <c r="AH80" s="4">
        <v>0</v>
      </c>
      <c r="AI80" s="4">
        <v>-7</v>
      </c>
      <c r="AJ80" s="4">
        <v>-21</v>
      </c>
      <c r="AK80" s="4">
        <v>0</v>
      </c>
      <c r="AL80" s="4">
        <v>5</v>
      </c>
      <c r="AM80" s="4">
        <v>-3</v>
      </c>
      <c r="AN80" s="4">
        <v>1</v>
      </c>
    </row>
    <row r="81" spans="3:40" x14ac:dyDescent="0.5">
      <c r="C81" s="3">
        <v>1953</v>
      </c>
      <c r="D81" s="4">
        <v>9</v>
      </c>
      <c r="E81" s="4">
        <v>16</v>
      </c>
      <c r="F81" s="4">
        <v>11</v>
      </c>
      <c r="G81" s="4">
        <v>20</v>
      </c>
      <c r="H81" s="4">
        <v>9</v>
      </c>
      <c r="I81" s="4">
        <v>8</v>
      </c>
      <c r="J81" s="4">
        <v>3</v>
      </c>
      <c r="K81" s="4">
        <v>9</v>
      </c>
      <c r="L81" s="4">
        <v>6</v>
      </c>
      <c r="M81" s="4">
        <v>5</v>
      </c>
      <c r="N81" s="4">
        <v>-5</v>
      </c>
      <c r="O81" s="4">
        <v>4</v>
      </c>
      <c r="P81" s="4">
        <v>8</v>
      </c>
      <c r="Q81" s="4">
        <v>7</v>
      </c>
      <c r="R81" s="4">
        <v>8</v>
      </c>
      <c r="S81" s="4">
        <v>6</v>
      </c>
      <c r="T81" s="4">
        <v>13</v>
      </c>
      <c r="U81" s="4">
        <v>2</v>
      </c>
      <c r="V81" s="4">
        <v>139</v>
      </c>
      <c r="Y81" s="3">
        <v>1953</v>
      </c>
      <c r="Z81" s="4">
        <v>8</v>
      </c>
      <c r="AA81" s="4">
        <v>15</v>
      </c>
      <c r="AB81" s="4">
        <v>33</v>
      </c>
      <c r="AC81" s="4">
        <v>5</v>
      </c>
      <c r="AD81" s="4">
        <v>5</v>
      </c>
      <c r="AE81" s="4">
        <v>37</v>
      </c>
      <c r="AF81" s="4">
        <v>-10</v>
      </c>
      <c r="AG81" s="4">
        <v>81</v>
      </c>
      <c r="AH81" s="4">
        <v>-12</v>
      </c>
      <c r="AI81" s="4">
        <v>-14</v>
      </c>
      <c r="AJ81" s="4">
        <v>-93</v>
      </c>
      <c r="AK81" s="4">
        <v>6</v>
      </c>
      <c r="AL81" s="4">
        <v>22</v>
      </c>
      <c r="AM81" s="4">
        <v>-6</v>
      </c>
      <c r="AN81" s="4">
        <v>77</v>
      </c>
    </row>
    <row r="82" spans="3:40" x14ac:dyDescent="0.5">
      <c r="C82" s="3">
        <v>1954</v>
      </c>
      <c r="D82" s="4">
        <v>-27</v>
      </c>
      <c r="E82" s="4">
        <v>-10</v>
      </c>
      <c r="F82" s="4">
        <v>-12</v>
      </c>
      <c r="G82" s="4">
        <v>-18</v>
      </c>
      <c r="H82" s="4">
        <v>-20</v>
      </c>
      <c r="I82" s="4">
        <v>-15</v>
      </c>
      <c r="J82" s="4">
        <v>-16</v>
      </c>
      <c r="K82" s="4">
        <v>-12</v>
      </c>
      <c r="L82" s="4">
        <v>-7</v>
      </c>
      <c r="M82" s="4">
        <v>0</v>
      </c>
      <c r="N82" s="4">
        <v>9</v>
      </c>
      <c r="O82" s="4">
        <v>-16</v>
      </c>
      <c r="P82" s="4">
        <v>-11</v>
      </c>
      <c r="Q82" s="4">
        <v>-10</v>
      </c>
      <c r="R82" s="4">
        <v>-12</v>
      </c>
      <c r="S82" s="4">
        <v>-14</v>
      </c>
      <c r="T82" s="4">
        <v>-16</v>
      </c>
      <c r="U82" s="4">
        <v>1</v>
      </c>
      <c r="V82" s="4">
        <v>-206</v>
      </c>
      <c r="Y82" s="3">
        <v>1954</v>
      </c>
      <c r="Z82" s="4">
        <v>-12</v>
      </c>
      <c r="AA82" s="4">
        <v>-1</v>
      </c>
      <c r="AB82" s="4">
        <v>3</v>
      </c>
      <c r="AC82" s="4">
        <v>-21</v>
      </c>
      <c r="AD82" s="4">
        <v>-28</v>
      </c>
      <c r="AE82" s="4">
        <v>-20</v>
      </c>
      <c r="AF82" s="4">
        <v>-16</v>
      </c>
      <c r="AG82" s="4">
        <v>58</v>
      </c>
      <c r="AH82" s="4">
        <v>-4</v>
      </c>
      <c r="AI82" s="4">
        <v>-14</v>
      </c>
      <c r="AJ82" s="4">
        <v>-69</v>
      </c>
      <c r="AK82" s="4">
        <v>-14</v>
      </c>
      <c r="AL82" s="4">
        <v>-4</v>
      </c>
      <c r="AM82" s="4">
        <v>-20</v>
      </c>
      <c r="AN82" s="4">
        <v>-162</v>
      </c>
    </row>
    <row r="83" spans="3:40" x14ac:dyDescent="0.5">
      <c r="C83" s="3">
        <v>1955</v>
      </c>
      <c r="D83" s="4">
        <v>12</v>
      </c>
      <c r="E83" s="4">
        <v>-21</v>
      </c>
      <c r="F83" s="4">
        <v>-35</v>
      </c>
      <c r="G83" s="4">
        <v>-22</v>
      </c>
      <c r="H83" s="4">
        <v>-20</v>
      </c>
      <c r="I83" s="4">
        <v>-7</v>
      </c>
      <c r="J83" s="4">
        <v>-7</v>
      </c>
      <c r="K83" s="4">
        <v>7</v>
      </c>
      <c r="L83" s="4">
        <v>-14</v>
      </c>
      <c r="M83" s="4">
        <v>-5</v>
      </c>
      <c r="N83" s="4">
        <v>-28</v>
      </c>
      <c r="O83" s="4">
        <v>-32</v>
      </c>
      <c r="P83" s="4">
        <v>-8</v>
      </c>
      <c r="Q83" s="4">
        <v>-13</v>
      </c>
      <c r="R83" s="4">
        <v>-14</v>
      </c>
      <c r="S83" s="4">
        <v>-2</v>
      </c>
      <c r="T83" s="4">
        <v>-26</v>
      </c>
      <c r="U83" s="4">
        <v>-15</v>
      </c>
      <c r="V83" s="4">
        <v>-250</v>
      </c>
      <c r="Y83" s="3">
        <v>1955</v>
      </c>
      <c r="Z83" s="4">
        <v>-14</v>
      </c>
      <c r="AA83" s="4">
        <v>23</v>
      </c>
      <c r="AB83" s="4">
        <v>2</v>
      </c>
      <c r="AC83" s="4">
        <v>-32</v>
      </c>
      <c r="AD83" s="4">
        <v>-38</v>
      </c>
      <c r="AE83" s="4">
        <v>-7</v>
      </c>
      <c r="AF83" s="4">
        <v>-16</v>
      </c>
      <c r="AG83" s="4">
        <v>-43</v>
      </c>
      <c r="AH83" s="4">
        <v>-19</v>
      </c>
      <c r="AI83" s="4">
        <v>-7</v>
      </c>
      <c r="AJ83" s="4">
        <v>130</v>
      </c>
      <c r="AK83" s="4">
        <v>-27</v>
      </c>
      <c r="AL83" s="4">
        <v>-9</v>
      </c>
      <c r="AM83" s="4">
        <v>-19</v>
      </c>
      <c r="AN83" s="4">
        <v>-76</v>
      </c>
    </row>
    <row r="84" spans="3:40" x14ac:dyDescent="0.5">
      <c r="C84" s="3">
        <v>1956</v>
      </c>
      <c r="D84" s="4">
        <v>-16</v>
      </c>
      <c r="E84" s="4">
        <v>-25</v>
      </c>
      <c r="F84" s="4">
        <v>-22</v>
      </c>
      <c r="G84" s="4">
        <v>-27</v>
      </c>
      <c r="H84" s="4">
        <v>-27</v>
      </c>
      <c r="I84" s="4">
        <v>-15</v>
      </c>
      <c r="J84" s="4">
        <v>-11</v>
      </c>
      <c r="K84" s="4">
        <v>-26</v>
      </c>
      <c r="L84" s="4">
        <v>-19</v>
      </c>
      <c r="M84" s="4">
        <v>-24</v>
      </c>
      <c r="N84" s="4">
        <v>-16</v>
      </c>
      <c r="O84" s="4">
        <v>-10</v>
      </c>
      <c r="P84" s="4">
        <v>-24</v>
      </c>
      <c r="Q84" s="4">
        <v>-22</v>
      </c>
      <c r="R84" s="4">
        <v>-20</v>
      </c>
      <c r="S84" s="4">
        <v>-17</v>
      </c>
      <c r="T84" s="4">
        <v>-25</v>
      </c>
      <c r="U84" s="4">
        <v>-19</v>
      </c>
      <c r="V84" s="4">
        <v>-365</v>
      </c>
      <c r="Y84" s="3">
        <v>1956</v>
      </c>
      <c r="Z84" s="4">
        <v>-20</v>
      </c>
      <c r="AA84" s="4">
        <v>-10</v>
      </c>
      <c r="AB84" s="4">
        <v>-24</v>
      </c>
      <c r="AC84" s="4">
        <v>-32</v>
      </c>
      <c r="AD84" s="4">
        <v>-37</v>
      </c>
      <c r="AE84" s="4">
        <v>-47</v>
      </c>
      <c r="AF84" s="4">
        <v>-11</v>
      </c>
      <c r="AG84" s="4">
        <v>-21</v>
      </c>
      <c r="AH84" s="4">
        <v>0</v>
      </c>
      <c r="AI84" s="4">
        <v>1</v>
      </c>
      <c r="AJ84" s="4">
        <v>59</v>
      </c>
      <c r="AK84" s="4">
        <v>-27</v>
      </c>
      <c r="AL84" s="4">
        <v>-25</v>
      </c>
      <c r="AM84" s="4">
        <v>-14</v>
      </c>
      <c r="AN84" s="4">
        <v>-208</v>
      </c>
    </row>
    <row r="85" spans="3:40" x14ac:dyDescent="0.5">
      <c r="C85" s="3">
        <v>1957</v>
      </c>
      <c r="D85" s="4">
        <v>-13</v>
      </c>
      <c r="E85" s="4">
        <v>-6</v>
      </c>
      <c r="F85" s="4">
        <v>-6</v>
      </c>
      <c r="G85" s="4">
        <v>-2</v>
      </c>
      <c r="H85" s="4">
        <v>7</v>
      </c>
      <c r="I85" s="4">
        <v>14</v>
      </c>
      <c r="J85" s="4">
        <v>0</v>
      </c>
      <c r="K85" s="4">
        <v>14</v>
      </c>
      <c r="L85" s="4">
        <v>8</v>
      </c>
      <c r="M85" s="4">
        <v>0</v>
      </c>
      <c r="N85" s="4">
        <v>6</v>
      </c>
      <c r="O85" s="4">
        <v>16</v>
      </c>
      <c r="P85" s="4">
        <v>-9</v>
      </c>
      <c r="Q85" s="4">
        <v>1</v>
      </c>
      <c r="R85" s="4">
        <v>3</v>
      </c>
      <c r="S85" s="4">
        <v>9</v>
      </c>
      <c r="T85" s="4">
        <v>0</v>
      </c>
      <c r="U85" s="4">
        <v>5</v>
      </c>
      <c r="V85" s="4">
        <v>47</v>
      </c>
      <c r="Y85" s="3">
        <v>1957</v>
      </c>
      <c r="Z85" s="4">
        <v>3</v>
      </c>
      <c r="AA85" s="4">
        <v>-11</v>
      </c>
      <c r="AB85" s="4">
        <v>2</v>
      </c>
      <c r="AC85" s="4">
        <v>7</v>
      </c>
      <c r="AD85" s="4">
        <v>8</v>
      </c>
      <c r="AE85" s="4">
        <v>22</v>
      </c>
      <c r="AF85" s="4">
        <v>-8</v>
      </c>
      <c r="AG85" s="4">
        <v>3</v>
      </c>
      <c r="AH85" s="4">
        <v>-9</v>
      </c>
      <c r="AI85" s="4">
        <v>-1</v>
      </c>
      <c r="AJ85" s="4">
        <v>39</v>
      </c>
      <c r="AK85" s="4">
        <v>6</v>
      </c>
      <c r="AL85" s="4">
        <v>4</v>
      </c>
      <c r="AM85" s="4">
        <v>3</v>
      </c>
      <c r="AN85" s="4">
        <v>68</v>
      </c>
    </row>
    <row r="86" spans="3:40" x14ac:dyDescent="0.5">
      <c r="C86" s="3">
        <v>1958</v>
      </c>
      <c r="D86" s="4">
        <v>37</v>
      </c>
      <c r="E86" s="4">
        <v>23</v>
      </c>
      <c r="F86" s="4">
        <v>9</v>
      </c>
      <c r="G86" s="4">
        <v>2</v>
      </c>
      <c r="H86" s="4">
        <v>7</v>
      </c>
      <c r="I86" s="4">
        <v>-6</v>
      </c>
      <c r="J86" s="4">
        <v>3</v>
      </c>
      <c r="K86" s="4">
        <v>-6</v>
      </c>
      <c r="L86" s="4">
        <v>-5</v>
      </c>
      <c r="M86" s="4">
        <v>3</v>
      </c>
      <c r="N86" s="4">
        <v>2</v>
      </c>
      <c r="O86" s="4">
        <v>0</v>
      </c>
      <c r="P86" s="4">
        <v>25</v>
      </c>
      <c r="Q86" s="4">
        <v>7</v>
      </c>
      <c r="R86" s="4">
        <v>6</v>
      </c>
      <c r="S86" s="4">
        <v>-3</v>
      </c>
      <c r="T86" s="4">
        <v>6</v>
      </c>
      <c r="U86" s="4">
        <v>0</v>
      </c>
      <c r="V86" s="4">
        <v>110</v>
      </c>
      <c r="Y86" s="3">
        <v>1958</v>
      </c>
      <c r="Z86" s="4">
        <v>6</v>
      </c>
      <c r="AA86" s="4">
        <v>12</v>
      </c>
      <c r="AB86" s="4">
        <v>10</v>
      </c>
      <c r="AC86" s="4">
        <v>20</v>
      </c>
      <c r="AD86" s="4">
        <v>14</v>
      </c>
      <c r="AE86" s="4">
        <v>18</v>
      </c>
      <c r="AF86" s="4">
        <v>-9</v>
      </c>
      <c r="AG86" s="4">
        <v>-15</v>
      </c>
      <c r="AH86" s="4">
        <v>-7</v>
      </c>
      <c r="AI86" s="4">
        <v>-17</v>
      </c>
      <c r="AJ86" s="4">
        <v>-68</v>
      </c>
      <c r="AK86" s="4">
        <v>26</v>
      </c>
      <c r="AL86" s="4">
        <v>16</v>
      </c>
      <c r="AM86" s="4">
        <v>-5</v>
      </c>
      <c r="AN86" s="4">
        <v>1</v>
      </c>
    </row>
    <row r="87" spans="3:40" x14ac:dyDescent="0.5">
      <c r="C87" s="3">
        <v>1959</v>
      </c>
      <c r="D87" s="4">
        <v>6</v>
      </c>
      <c r="E87" s="4">
        <v>9</v>
      </c>
      <c r="F87" s="4">
        <v>20</v>
      </c>
      <c r="G87" s="4">
        <v>17</v>
      </c>
      <c r="H87" s="4">
        <v>5</v>
      </c>
      <c r="I87" s="4">
        <v>3</v>
      </c>
      <c r="J87" s="4">
        <v>5</v>
      </c>
      <c r="K87" s="4">
        <v>-1</v>
      </c>
      <c r="L87" s="4">
        <v>-5</v>
      </c>
      <c r="M87" s="4">
        <v>-9</v>
      </c>
      <c r="N87" s="4">
        <v>-9</v>
      </c>
      <c r="O87" s="4">
        <v>-2</v>
      </c>
      <c r="P87" s="4">
        <v>5</v>
      </c>
      <c r="Q87" s="4">
        <v>3</v>
      </c>
      <c r="R87" s="4">
        <v>3</v>
      </c>
      <c r="S87" s="4">
        <v>2</v>
      </c>
      <c r="T87" s="4">
        <v>14</v>
      </c>
      <c r="U87" s="4">
        <v>-8</v>
      </c>
      <c r="V87" s="4">
        <v>58</v>
      </c>
      <c r="Y87" s="3">
        <v>1959</v>
      </c>
      <c r="Z87" s="4">
        <v>3</v>
      </c>
      <c r="AA87" s="4">
        <v>2</v>
      </c>
      <c r="AB87" s="4">
        <v>15</v>
      </c>
      <c r="AC87" s="4">
        <v>6</v>
      </c>
      <c r="AD87" s="4">
        <v>8</v>
      </c>
      <c r="AE87" s="4">
        <v>17</v>
      </c>
      <c r="AF87" s="4">
        <v>-4</v>
      </c>
      <c r="AG87" s="4">
        <v>50</v>
      </c>
      <c r="AH87" s="4">
        <v>-15</v>
      </c>
      <c r="AI87" s="4">
        <v>-13</v>
      </c>
      <c r="AJ87" s="4">
        <v>-36</v>
      </c>
      <c r="AK87" s="4">
        <v>5</v>
      </c>
      <c r="AL87" s="4">
        <v>11</v>
      </c>
      <c r="AM87" s="4">
        <v>-4</v>
      </c>
      <c r="AN87" s="4">
        <v>45</v>
      </c>
    </row>
    <row r="88" spans="3:40" x14ac:dyDescent="0.5">
      <c r="C88" s="3">
        <v>1960</v>
      </c>
      <c r="D88" s="4">
        <v>-2</v>
      </c>
      <c r="E88" s="4">
        <v>13</v>
      </c>
      <c r="F88" s="4">
        <v>-36</v>
      </c>
      <c r="G88" s="4">
        <v>-17</v>
      </c>
      <c r="H88" s="4">
        <v>-9</v>
      </c>
      <c r="I88" s="4">
        <v>0</v>
      </c>
      <c r="J88" s="4">
        <v>-3</v>
      </c>
      <c r="K88" s="4">
        <v>0</v>
      </c>
      <c r="L88" s="4">
        <v>4</v>
      </c>
      <c r="M88" s="4">
        <v>8</v>
      </c>
      <c r="N88" s="4">
        <v>-12</v>
      </c>
      <c r="O88" s="4">
        <v>18</v>
      </c>
      <c r="P88" s="4">
        <v>3</v>
      </c>
      <c r="Q88" s="4">
        <v>-5</v>
      </c>
      <c r="R88" s="4">
        <v>-3</v>
      </c>
      <c r="S88" s="4">
        <v>-1</v>
      </c>
      <c r="T88" s="4">
        <v>-20</v>
      </c>
      <c r="U88" s="4">
        <v>0</v>
      </c>
      <c r="V88" s="4">
        <v>-62</v>
      </c>
      <c r="Y88" s="3">
        <v>1960</v>
      </c>
      <c r="Z88" s="4">
        <v>-3</v>
      </c>
      <c r="AA88" s="4">
        <v>10</v>
      </c>
      <c r="AB88" s="4">
        <v>9</v>
      </c>
      <c r="AC88" s="4">
        <v>1</v>
      </c>
      <c r="AD88" s="4">
        <v>-3</v>
      </c>
      <c r="AE88" s="4">
        <v>-6</v>
      </c>
      <c r="AF88" s="4">
        <v>-10</v>
      </c>
      <c r="AG88" s="4">
        <v>35</v>
      </c>
      <c r="AH88" s="4">
        <v>-4</v>
      </c>
      <c r="AI88" s="4">
        <v>-20</v>
      </c>
      <c r="AJ88" s="4">
        <v>-86</v>
      </c>
      <c r="AK88" s="4">
        <v>5</v>
      </c>
      <c r="AL88" s="4">
        <v>8</v>
      </c>
      <c r="AM88" s="4">
        <v>-13</v>
      </c>
      <c r="AN88" s="4">
        <v>-77</v>
      </c>
    </row>
    <row r="89" spans="3:40" x14ac:dyDescent="0.5">
      <c r="C89" s="3">
        <v>1961</v>
      </c>
      <c r="D89" s="4">
        <v>7</v>
      </c>
      <c r="E89" s="4">
        <v>19</v>
      </c>
      <c r="F89" s="4">
        <v>10</v>
      </c>
      <c r="G89" s="4">
        <v>15</v>
      </c>
      <c r="H89" s="4">
        <v>14</v>
      </c>
      <c r="I89" s="4">
        <v>11</v>
      </c>
      <c r="J89" s="4">
        <v>-4</v>
      </c>
      <c r="K89" s="4">
        <v>0</v>
      </c>
      <c r="L89" s="4">
        <v>5</v>
      </c>
      <c r="M89" s="4">
        <v>0</v>
      </c>
      <c r="N89" s="4">
        <v>2</v>
      </c>
      <c r="O89" s="4">
        <v>-15</v>
      </c>
      <c r="P89" s="4">
        <v>15</v>
      </c>
      <c r="Q89" s="4">
        <v>8</v>
      </c>
      <c r="R89" s="4">
        <v>5</v>
      </c>
      <c r="S89" s="4">
        <v>2</v>
      </c>
      <c r="T89" s="4">
        <v>13</v>
      </c>
      <c r="U89" s="4">
        <v>2</v>
      </c>
      <c r="V89" s="4">
        <v>109</v>
      </c>
      <c r="Y89" s="3">
        <v>1961</v>
      </c>
      <c r="Z89" s="4">
        <v>5</v>
      </c>
      <c r="AA89" s="4">
        <v>17</v>
      </c>
      <c r="AB89" s="4">
        <v>18</v>
      </c>
      <c r="AC89" s="4">
        <v>-3</v>
      </c>
      <c r="AD89" s="4">
        <v>1</v>
      </c>
      <c r="AE89" s="4">
        <v>37</v>
      </c>
      <c r="AF89" s="4">
        <v>11</v>
      </c>
      <c r="AG89" s="4">
        <v>-18</v>
      </c>
      <c r="AH89" s="4">
        <v>-11</v>
      </c>
      <c r="AI89" s="4">
        <v>4</v>
      </c>
      <c r="AJ89" s="4">
        <v>12</v>
      </c>
      <c r="AK89" s="4">
        <v>-7</v>
      </c>
      <c r="AL89" s="4">
        <v>8</v>
      </c>
      <c r="AM89" s="4">
        <v>3</v>
      </c>
      <c r="AN89" s="4">
        <v>77</v>
      </c>
    </row>
    <row r="90" spans="3:40" x14ac:dyDescent="0.5">
      <c r="C90" s="3">
        <v>1962</v>
      </c>
      <c r="D90" s="4">
        <v>7</v>
      </c>
      <c r="E90" s="4">
        <v>15</v>
      </c>
      <c r="F90" s="4">
        <v>11</v>
      </c>
      <c r="G90" s="4">
        <v>5</v>
      </c>
      <c r="H90" s="4">
        <v>-6</v>
      </c>
      <c r="I90" s="4">
        <v>5</v>
      </c>
      <c r="J90" s="4">
        <v>-2</v>
      </c>
      <c r="K90" s="4">
        <v>-3</v>
      </c>
      <c r="L90" s="4">
        <v>-2</v>
      </c>
      <c r="M90" s="4">
        <v>-4</v>
      </c>
      <c r="N90" s="4">
        <v>6</v>
      </c>
      <c r="O90" s="4">
        <v>-1</v>
      </c>
      <c r="P90" s="4">
        <v>2</v>
      </c>
      <c r="Q90" s="4">
        <v>1</v>
      </c>
      <c r="R90" s="4">
        <v>3</v>
      </c>
      <c r="S90" s="4">
        <v>0</v>
      </c>
      <c r="T90" s="4">
        <v>3</v>
      </c>
      <c r="U90" s="4">
        <v>0</v>
      </c>
      <c r="V90" s="4">
        <v>40</v>
      </c>
      <c r="Y90" s="3">
        <v>1962</v>
      </c>
      <c r="Z90" s="4">
        <v>3</v>
      </c>
      <c r="AA90" s="4">
        <v>14</v>
      </c>
      <c r="AB90" s="4">
        <v>27</v>
      </c>
      <c r="AC90" s="4">
        <v>-4</v>
      </c>
      <c r="AD90" s="4">
        <v>-5</v>
      </c>
      <c r="AE90" s="4">
        <v>34</v>
      </c>
      <c r="AF90" s="4">
        <v>6</v>
      </c>
      <c r="AG90" s="4">
        <v>58</v>
      </c>
      <c r="AH90" s="4">
        <v>-9</v>
      </c>
      <c r="AI90" s="4">
        <v>-13</v>
      </c>
      <c r="AJ90" s="4">
        <v>-85</v>
      </c>
      <c r="AK90" s="4">
        <v>-4</v>
      </c>
      <c r="AL90" s="4">
        <v>14</v>
      </c>
      <c r="AM90" s="4">
        <v>-9</v>
      </c>
      <c r="AN90" s="4">
        <v>27</v>
      </c>
    </row>
    <row r="91" spans="3:40" x14ac:dyDescent="0.5">
      <c r="C91" s="3">
        <v>1963</v>
      </c>
      <c r="D91" s="4">
        <v>-3</v>
      </c>
      <c r="E91" s="4">
        <v>18</v>
      </c>
      <c r="F91" s="4">
        <v>-15</v>
      </c>
      <c r="G91" s="4">
        <v>-5</v>
      </c>
      <c r="H91" s="4">
        <v>-10</v>
      </c>
      <c r="I91" s="4">
        <v>3</v>
      </c>
      <c r="J91" s="4">
        <v>9</v>
      </c>
      <c r="K91" s="4">
        <v>23</v>
      </c>
      <c r="L91" s="4">
        <v>20</v>
      </c>
      <c r="M91" s="4">
        <v>14</v>
      </c>
      <c r="N91" s="4">
        <v>16</v>
      </c>
      <c r="O91" s="4">
        <v>0</v>
      </c>
      <c r="P91" s="4">
        <v>5</v>
      </c>
      <c r="Q91" s="4">
        <v>6</v>
      </c>
      <c r="R91" s="4">
        <v>6</v>
      </c>
      <c r="S91" s="4">
        <v>11</v>
      </c>
      <c r="T91" s="4">
        <v>-10</v>
      </c>
      <c r="U91" s="4">
        <v>17</v>
      </c>
      <c r="V91" s="4">
        <v>105</v>
      </c>
      <c r="Y91" s="3">
        <v>1963</v>
      </c>
      <c r="Z91" s="4">
        <v>6</v>
      </c>
      <c r="AA91" s="4">
        <v>13</v>
      </c>
      <c r="AB91" s="4">
        <v>16</v>
      </c>
      <c r="AC91" s="4">
        <v>11</v>
      </c>
      <c r="AD91" s="4">
        <v>9</v>
      </c>
      <c r="AE91" s="4">
        <v>32</v>
      </c>
      <c r="AF91" s="4">
        <v>-11</v>
      </c>
      <c r="AG91" s="4">
        <v>-5</v>
      </c>
      <c r="AH91" s="4">
        <v>-20</v>
      </c>
      <c r="AI91" s="4">
        <v>-12</v>
      </c>
      <c r="AJ91" s="4">
        <v>5</v>
      </c>
      <c r="AK91" s="4">
        <v>13</v>
      </c>
      <c r="AL91" s="4">
        <v>15</v>
      </c>
      <c r="AM91" s="4">
        <v>-3</v>
      </c>
      <c r="AN91" s="4">
        <v>69</v>
      </c>
    </row>
    <row r="92" spans="3:40" x14ac:dyDescent="0.5">
      <c r="C92" s="3">
        <v>1964</v>
      </c>
      <c r="D92" s="4">
        <v>-6</v>
      </c>
      <c r="E92" s="4">
        <v>-11</v>
      </c>
      <c r="F92" s="4">
        <v>-24</v>
      </c>
      <c r="G92" s="4">
        <v>-30</v>
      </c>
      <c r="H92" s="4">
        <v>-26</v>
      </c>
      <c r="I92" s="4">
        <v>-9</v>
      </c>
      <c r="J92" s="4">
        <v>-7</v>
      </c>
      <c r="K92" s="4">
        <v>-22</v>
      </c>
      <c r="L92" s="4">
        <v>-28</v>
      </c>
      <c r="M92" s="4">
        <v>-30</v>
      </c>
      <c r="N92" s="4">
        <v>-21</v>
      </c>
      <c r="O92" s="4">
        <v>-30</v>
      </c>
      <c r="P92" s="4">
        <v>-6</v>
      </c>
      <c r="Q92" s="4">
        <v>-18</v>
      </c>
      <c r="R92" s="4">
        <v>-20</v>
      </c>
      <c r="S92" s="4">
        <v>-13</v>
      </c>
      <c r="T92" s="4">
        <v>-27</v>
      </c>
      <c r="U92" s="4">
        <v>-26</v>
      </c>
      <c r="V92" s="4">
        <v>-354</v>
      </c>
      <c r="Y92" s="3">
        <v>1964</v>
      </c>
      <c r="Z92" s="4">
        <v>-20</v>
      </c>
      <c r="AA92" s="4">
        <v>-11</v>
      </c>
      <c r="AB92" s="4">
        <v>-24</v>
      </c>
      <c r="AC92" s="4">
        <v>-14</v>
      </c>
      <c r="AD92" s="4">
        <v>-13</v>
      </c>
      <c r="AE92" s="4">
        <v>-22</v>
      </c>
      <c r="AF92" s="4">
        <v>-30</v>
      </c>
      <c r="AG92" s="4">
        <v>-67</v>
      </c>
      <c r="AH92" s="4">
        <v>-9</v>
      </c>
      <c r="AI92" s="4">
        <v>-26</v>
      </c>
      <c r="AJ92" s="4">
        <v>-44</v>
      </c>
      <c r="AK92" s="4">
        <v>-14</v>
      </c>
      <c r="AL92" s="4">
        <v>-20</v>
      </c>
      <c r="AM92" s="4">
        <v>-21</v>
      </c>
      <c r="AN92" s="4">
        <v>-335</v>
      </c>
    </row>
    <row r="93" spans="3:40" x14ac:dyDescent="0.5">
      <c r="C93" s="3">
        <v>1965</v>
      </c>
      <c r="D93" s="4">
        <v>-9</v>
      </c>
      <c r="E93" s="4">
        <v>-17</v>
      </c>
      <c r="F93" s="4">
        <v>-12</v>
      </c>
      <c r="G93" s="4">
        <v>-20</v>
      </c>
      <c r="H93" s="4">
        <v>-14</v>
      </c>
      <c r="I93" s="4">
        <v>-10</v>
      </c>
      <c r="J93" s="4">
        <v>-10</v>
      </c>
      <c r="K93" s="4">
        <v>-1</v>
      </c>
      <c r="L93" s="4">
        <v>-12</v>
      </c>
      <c r="M93" s="4">
        <v>-4</v>
      </c>
      <c r="N93" s="4">
        <v>-6</v>
      </c>
      <c r="O93" s="4">
        <v>-6</v>
      </c>
      <c r="P93" s="4">
        <v>-19</v>
      </c>
      <c r="Q93" s="4">
        <v>-12</v>
      </c>
      <c r="R93" s="4">
        <v>-10</v>
      </c>
      <c r="S93" s="4">
        <v>-7</v>
      </c>
      <c r="T93" s="4">
        <v>-15</v>
      </c>
      <c r="U93" s="4">
        <v>-7</v>
      </c>
      <c r="V93" s="4">
        <v>-191</v>
      </c>
      <c r="Y93" s="3">
        <v>1965</v>
      </c>
      <c r="Z93" s="4">
        <v>-10</v>
      </c>
      <c r="AA93" s="4">
        <v>-11</v>
      </c>
      <c r="AB93" s="4">
        <v>-17</v>
      </c>
      <c r="AC93" s="4">
        <v>-3</v>
      </c>
      <c r="AD93" s="4">
        <v>1</v>
      </c>
      <c r="AE93" s="4">
        <v>-24</v>
      </c>
      <c r="AF93" s="4">
        <v>-21</v>
      </c>
      <c r="AG93" s="4">
        <v>-20</v>
      </c>
      <c r="AH93" s="4">
        <v>0</v>
      </c>
      <c r="AI93" s="4">
        <v>-12</v>
      </c>
      <c r="AJ93" s="4">
        <v>-6</v>
      </c>
      <c r="AK93" s="4">
        <v>-7</v>
      </c>
      <c r="AL93" s="4">
        <v>-13</v>
      </c>
      <c r="AM93" s="4">
        <v>-7</v>
      </c>
      <c r="AN93" s="4">
        <v>-150</v>
      </c>
    </row>
    <row r="94" spans="3:40" x14ac:dyDescent="0.5">
      <c r="C94" s="3">
        <v>1966</v>
      </c>
      <c r="D94" s="4">
        <v>-16</v>
      </c>
      <c r="E94" s="4">
        <v>-1</v>
      </c>
      <c r="F94" s="4">
        <v>4</v>
      </c>
      <c r="G94" s="4">
        <v>-14</v>
      </c>
      <c r="H94" s="4">
        <v>-9</v>
      </c>
      <c r="I94" s="4">
        <v>3</v>
      </c>
      <c r="J94" s="4">
        <v>8</v>
      </c>
      <c r="K94" s="4">
        <v>-11</v>
      </c>
      <c r="L94" s="4">
        <v>-2</v>
      </c>
      <c r="M94" s="4">
        <v>-15</v>
      </c>
      <c r="N94" s="4">
        <v>-2</v>
      </c>
      <c r="O94" s="4">
        <v>-6</v>
      </c>
      <c r="P94" s="4">
        <v>-8</v>
      </c>
      <c r="Q94" s="4">
        <v>-5</v>
      </c>
      <c r="R94" s="4">
        <v>-5</v>
      </c>
      <c r="S94" s="4">
        <v>0</v>
      </c>
      <c r="T94" s="4">
        <v>-6</v>
      </c>
      <c r="U94" s="4">
        <v>-6</v>
      </c>
      <c r="V94" s="4">
        <v>-91</v>
      </c>
      <c r="Y94" s="3">
        <v>1966</v>
      </c>
      <c r="Z94" s="4">
        <v>-5</v>
      </c>
      <c r="AA94" s="4">
        <v>8</v>
      </c>
      <c r="AB94" s="4">
        <v>-12</v>
      </c>
      <c r="AC94" s="4">
        <v>8</v>
      </c>
      <c r="AD94" s="4">
        <v>-1</v>
      </c>
      <c r="AE94" s="4">
        <v>-16</v>
      </c>
      <c r="AF94" s="4">
        <v>-24</v>
      </c>
      <c r="AG94" s="4">
        <v>-67</v>
      </c>
      <c r="AH94" s="4">
        <v>-17</v>
      </c>
      <c r="AI94" s="4">
        <v>-16</v>
      </c>
      <c r="AJ94" s="4">
        <v>15</v>
      </c>
      <c r="AK94" s="4">
        <v>17</v>
      </c>
      <c r="AL94" s="4">
        <v>0</v>
      </c>
      <c r="AM94" s="4">
        <v>-10</v>
      </c>
      <c r="AN94" s="4">
        <v>-120</v>
      </c>
    </row>
    <row r="95" spans="3:40" x14ac:dyDescent="0.5">
      <c r="C95" s="3">
        <v>1967</v>
      </c>
      <c r="D95" s="4">
        <v>-7</v>
      </c>
      <c r="E95" s="4">
        <v>-19</v>
      </c>
      <c r="F95" s="4">
        <v>4</v>
      </c>
      <c r="G95" s="4">
        <v>-6</v>
      </c>
      <c r="H95" s="4">
        <v>12</v>
      </c>
      <c r="I95" s="4">
        <v>-8</v>
      </c>
      <c r="J95" s="4">
        <v>-1</v>
      </c>
      <c r="K95" s="4">
        <v>3</v>
      </c>
      <c r="L95" s="4">
        <v>-4</v>
      </c>
      <c r="M95" s="4">
        <v>7</v>
      </c>
      <c r="N95" s="4">
        <v>-6</v>
      </c>
      <c r="O95" s="4">
        <v>-2</v>
      </c>
      <c r="P95" s="4">
        <v>-11</v>
      </c>
      <c r="Q95" s="4">
        <v>-3</v>
      </c>
      <c r="R95" s="4">
        <v>-2</v>
      </c>
      <c r="S95" s="4">
        <v>-2</v>
      </c>
      <c r="T95" s="4">
        <v>4</v>
      </c>
      <c r="U95" s="4">
        <v>-1</v>
      </c>
      <c r="V95" s="4">
        <v>-42</v>
      </c>
      <c r="Y95" s="3">
        <v>1967</v>
      </c>
      <c r="Z95" s="4">
        <v>-2</v>
      </c>
      <c r="AA95" s="4">
        <v>-6</v>
      </c>
      <c r="AB95" s="4">
        <v>13</v>
      </c>
      <c r="AC95" s="4">
        <v>-14</v>
      </c>
      <c r="AD95" s="4">
        <v>-16</v>
      </c>
      <c r="AE95" s="4">
        <v>26</v>
      </c>
      <c r="AF95" s="4">
        <v>-7</v>
      </c>
      <c r="AG95" s="4">
        <v>43</v>
      </c>
      <c r="AH95" s="4">
        <v>-7</v>
      </c>
      <c r="AI95" s="4">
        <v>-2</v>
      </c>
      <c r="AJ95" s="4">
        <v>27</v>
      </c>
      <c r="AK95" s="4">
        <v>-11</v>
      </c>
      <c r="AL95" s="4">
        <v>3</v>
      </c>
      <c r="AM95" s="4">
        <v>-8</v>
      </c>
      <c r="AN95" s="4">
        <v>39</v>
      </c>
    </row>
    <row r="96" spans="3:40" x14ac:dyDescent="0.5">
      <c r="C96" s="3">
        <v>1968</v>
      </c>
      <c r="D96" s="4">
        <v>-22</v>
      </c>
      <c r="E96" s="4">
        <v>-14</v>
      </c>
      <c r="F96" s="4">
        <v>21</v>
      </c>
      <c r="G96" s="4">
        <v>-5</v>
      </c>
      <c r="H96" s="4">
        <v>-10</v>
      </c>
      <c r="I96" s="4">
        <v>-5</v>
      </c>
      <c r="J96" s="4">
        <v>-10</v>
      </c>
      <c r="K96" s="4">
        <v>-11</v>
      </c>
      <c r="L96" s="4">
        <v>-19</v>
      </c>
      <c r="M96" s="4">
        <v>11</v>
      </c>
      <c r="N96" s="4">
        <v>-5</v>
      </c>
      <c r="O96" s="4">
        <v>-14</v>
      </c>
      <c r="P96" s="4">
        <v>-13</v>
      </c>
      <c r="Q96" s="4">
        <v>-6</v>
      </c>
      <c r="R96" s="4">
        <v>-7</v>
      </c>
      <c r="S96" s="4">
        <v>-9</v>
      </c>
      <c r="T96" s="4">
        <v>2</v>
      </c>
      <c r="U96" s="4">
        <v>-4</v>
      </c>
      <c r="V96" s="4">
        <v>-120</v>
      </c>
      <c r="Y96" s="3">
        <v>1968</v>
      </c>
      <c r="Z96" s="4">
        <v>-7</v>
      </c>
      <c r="AA96" s="4">
        <v>-8</v>
      </c>
      <c r="AB96" s="4">
        <v>-8</v>
      </c>
      <c r="AC96" s="4">
        <v>-6</v>
      </c>
      <c r="AD96" s="4">
        <v>-10</v>
      </c>
      <c r="AE96" s="4">
        <v>-2</v>
      </c>
      <c r="AF96" s="4">
        <v>-12</v>
      </c>
      <c r="AG96" s="4">
        <v>-17</v>
      </c>
      <c r="AH96" s="4">
        <v>2</v>
      </c>
      <c r="AI96" s="4">
        <v>-8</v>
      </c>
      <c r="AJ96" s="4">
        <v>-14</v>
      </c>
      <c r="AK96" s="4">
        <v>-1</v>
      </c>
      <c r="AL96" s="4">
        <v>-5</v>
      </c>
      <c r="AM96" s="4">
        <v>-9</v>
      </c>
      <c r="AN96" s="4">
        <v>-105</v>
      </c>
    </row>
    <row r="97" spans="3:40" x14ac:dyDescent="0.5">
      <c r="C97" s="3">
        <v>1969</v>
      </c>
      <c r="D97" s="4">
        <v>-11</v>
      </c>
      <c r="E97" s="4">
        <v>-14</v>
      </c>
      <c r="F97" s="4">
        <v>1</v>
      </c>
      <c r="G97" s="4">
        <v>18</v>
      </c>
      <c r="H97" s="4">
        <v>19</v>
      </c>
      <c r="I97" s="4">
        <v>4</v>
      </c>
      <c r="J97" s="4">
        <v>-2</v>
      </c>
      <c r="K97" s="4">
        <v>3</v>
      </c>
      <c r="L97" s="4">
        <v>10</v>
      </c>
      <c r="M97" s="4">
        <v>9</v>
      </c>
      <c r="N97" s="4">
        <v>12</v>
      </c>
      <c r="O97" s="4">
        <v>27</v>
      </c>
      <c r="P97" s="4">
        <v>-13</v>
      </c>
      <c r="Q97" s="4">
        <v>3</v>
      </c>
      <c r="R97" s="4">
        <v>6</v>
      </c>
      <c r="S97" s="4">
        <v>2</v>
      </c>
      <c r="T97" s="4">
        <v>13</v>
      </c>
      <c r="U97" s="4">
        <v>10</v>
      </c>
      <c r="V97" s="4">
        <v>97</v>
      </c>
      <c r="Y97" s="3">
        <v>1969</v>
      </c>
      <c r="Z97" s="4">
        <v>6</v>
      </c>
      <c r="AA97" s="4">
        <v>-15</v>
      </c>
      <c r="AB97" s="4">
        <v>-26</v>
      </c>
      <c r="AC97" s="4">
        <v>32</v>
      </c>
      <c r="AD97" s="4">
        <v>29</v>
      </c>
      <c r="AE97" s="4">
        <v>-59</v>
      </c>
      <c r="AF97" s="4">
        <v>2</v>
      </c>
      <c r="AG97" s="4">
        <v>5</v>
      </c>
      <c r="AH97" s="4">
        <v>13</v>
      </c>
      <c r="AI97" s="4">
        <v>4</v>
      </c>
      <c r="AJ97" s="4">
        <v>-4</v>
      </c>
      <c r="AK97" s="4">
        <v>35</v>
      </c>
      <c r="AL97" s="4">
        <v>-2</v>
      </c>
      <c r="AM97" s="4">
        <v>14</v>
      </c>
      <c r="AN97" s="4">
        <v>34</v>
      </c>
    </row>
    <row r="98" spans="3:40" x14ac:dyDescent="0.5">
      <c r="C98" s="3">
        <v>1970</v>
      </c>
      <c r="D98" s="4">
        <v>10</v>
      </c>
      <c r="E98" s="4">
        <v>23</v>
      </c>
      <c r="F98" s="4">
        <v>8</v>
      </c>
      <c r="G98" s="4">
        <v>9</v>
      </c>
      <c r="H98" s="4">
        <v>-5</v>
      </c>
      <c r="I98" s="4">
        <v>-1</v>
      </c>
      <c r="J98" s="4">
        <v>-4</v>
      </c>
      <c r="K98" s="4">
        <v>-10</v>
      </c>
      <c r="L98" s="4">
        <v>11</v>
      </c>
      <c r="M98" s="4">
        <v>4</v>
      </c>
      <c r="N98" s="4">
        <v>1</v>
      </c>
      <c r="O98" s="4">
        <v>-14</v>
      </c>
      <c r="P98" s="4">
        <v>20</v>
      </c>
      <c r="Q98" s="4">
        <v>6</v>
      </c>
      <c r="R98" s="4">
        <v>3</v>
      </c>
      <c r="S98" s="4">
        <v>-5</v>
      </c>
      <c r="T98" s="4">
        <v>4</v>
      </c>
      <c r="U98" s="4">
        <v>6</v>
      </c>
      <c r="V98" s="4">
        <v>66</v>
      </c>
      <c r="Y98" s="3">
        <v>1970</v>
      </c>
      <c r="Z98" s="4">
        <v>3</v>
      </c>
      <c r="AA98" s="4">
        <v>-6</v>
      </c>
      <c r="AB98" s="4">
        <v>-10</v>
      </c>
      <c r="AC98" s="4">
        <v>6</v>
      </c>
      <c r="AD98" s="4">
        <v>6</v>
      </c>
      <c r="AE98" s="4">
        <v>-14</v>
      </c>
      <c r="AF98" s="4">
        <v>9</v>
      </c>
      <c r="AG98" s="4">
        <v>-17</v>
      </c>
      <c r="AH98" s="4">
        <v>0</v>
      </c>
      <c r="AI98" s="4">
        <v>11</v>
      </c>
      <c r="AJ98" s="4">
        <v>41</v>
      </c>
      <c r="AK98" s="4">
        <v>6</v>
      </c>
      <c r="AL98" s="4">
        <v>-3</v>
      </c>
      <c r="AM98" s="4">
        <v>9</v>
      </c>
      <c r="AN98" s="4">
        <v>41</v>
      </c>
    </row>
    <row r="99" spans="3:40" x14ac:dyDescent="0.5">
      <c r="C99" s="3">
        <v>1971</v>
      </c>
      <c r="D99" s="4">
        <v>-3</v>
      </c>
      <c r="E99" s="4">
        <v>-21</v>
      </c>
      <c r="F99" s="4">
        <v>-19</v>
      </c>
      <c r="G99" s="4">
        <v>-11</v>
      </c>
      <c r="H99" s="4">
        <v>-7</v>
      </c>
      <c r="I99" s="4">
        <v>-18</v>
      </c>
      <c r="J99" s="4">
        <v>-13</v>
      </c>
      <c r="K99" s="4">
        <v>-3</v>
      </c>
      <c r="L99" s="4">
        <v>0</v>
      </c>
      <c r="M99" s="4">
        <v>-6</v>
      </c>
      <c r="N99" s="4">
        <v>-5</v>
      </c>
      <c r="O99" s="4">
        <v>-8</v>
      </c>
      <c r="P99" s="4">
        <v>-13</v>
      </c>
      <c r="Q99" s="4">
        <v>-10</v>
      </c>
      <c r="R99" s="4">
        <v>-9</v>
      </c>
      <c r="S99" s="4">
        <v>-11</v>
      </c>
      <c r="T99" s="4">
        <v>-12</v>
      </c>
      <c r="U99" s="4">
        <v>-4</v>
      </c>
      <c r="V99" s="4">
        <v>-173</v>
      </c>
      <c r="Y99" s="3">
        <v>1971</v>
      </c>
      <c r="Z99" s="4">
        <v>-9</v>
      </c>
      <c r="AA99" s="4">
        <v>-10</v>
      </c>
      <c r="AB99" s="4">
        <v>-6</v>
      </c>
      <c r="AC99" s="4">
        <v>-26</v>
      </c>
      <c r="AD99" s="4">
        <v>-22</v>
      </c>
      <c r="AE99" s="4">
        <v>0</v>
      </c>
      <c r="AF99" s="4">
        <v>4</v>
      </c>
      <c r="AG99" s="4">
        <v>-6</v>
      </c>
      <c r="AH99" s="4">
        <v>11</v>
      </c>
      <c r="AI99" s="4">
        <v>9</v>
      </c>
      <c r="AJ99" s="4">
        <v>25</v>
      </c>
      <c r="AK99" s="4">
        <v>-30</v>
      </c>
      <c r="AL99" s="4">
        <v>-15</v>
      </c>
      <c r="AM99" s="4">
        <v>-3</v>
      </c>
      <c r="AN99" s="4">
        <v>-78</v>
      </c>
    </row>
    <row r="100" spans="3:40" x14ac:dyDescent="0.5">
      <c r="C100" s="3">
        <v>1972</v>
      </c>
      <c r="D100" s="4">
        <v>-26</v>
      </c>
      <c r="E100" s="4">
        <v>-17</v>
      </c>
      <c r="F100" s="4">
        <v>3</v>
      </c>
      <c r="G100" s="4">
        <v>-1</v>
      </c>
      <c r="H100" s="4">
        <v>-1</v>
      </c>
      <c r="I100" s="4">
        <v>4</v>
      </c>
      <c r="J100" s="4">
        <v>2</v>
      </c>
      <c r="K100" s="4">
        <v>18</v>
      </c>
      <c r="L100" s="4">
        <v>4</v>
      </c>
      <c r="M100" s="4">
        <v>7</v>
      </c>
      <c r="N100" s="4">
        <v>1</v>
      </c>
      <c r="O100" s="4">
        <v>18</v>
      </c>
      <c r="P100" s="4">
        <v>-17</v>
      </c>
      <c r="Q100" s="4">
        <v>-1</v>
      </c>
      <c r="R100" s="4">
        <v>1</v>
      </c>
      <c r="S100" s="4">
        <v>8</v>
      </c>
      <c r="T100" s="4">
        <v>0</v>
      </c>
      <c r="U100" s="4">
        <v>4</v>
      </c>
      <c r="V100" s="4">
        <v>7</v>
      </c>
      <c r="Y100" s="3">
        <v>1972</v>
      </c>
      <c r="Z100" s="4">
        <v>1</v>
      </c>
      <c r="AA100" s="4">
        <v>-22</v>
      </c>
      <c r="AB100" s="4">
        <v>-35</v>
      </c>
      <c r="AC100" s="4">
        <v>16</v>
      </c>
      <c r="AD100" s="4">
        <v>26</v>
      </c>
      <c r="AE100" s="4">
        <v>-49</v>
      </c>
      <c r="AF100" s="4">
        <v>14</v>
      </c>
      <c r="AG100" s="4">
        <v>-45</v>
      </c>
      <c r="AH100" s="4">
        <v>2</v>
      </c>
      <c r="AI100" s="4">
        <v>16</v>
      </c>
      <c r="AJ100" s="4">
        <v>55</v>
      </c>
      <c r="AK100" s="4">
        <v>6</v>
      </c>
      <c r="AL100" s="4">
        <v>-18</v>
      </c>
      <c r="AM100" s="4">
        <v>20</v>
      </c>
      <c r="AN100" s="4">
        <v>-13</v>
      </c>
    </row>
    <row r="101" spans="3:40" x14ac:dyDescent="0.5">
      <c r="C101" s="3">
        <v>1973</v>
      </c>
      <c r="D101" s="4">
        <v>27</v>
      </c>
      <c r="E101" s="4">
        <v>31</v>
      </c>
      <c r="F101" s="4">
        <v>25</v>
      </c>
      <c r="G101" s="4">
        <v>26</v>
      </c>
      <c r="H101" s="4">
        <v>26</v>
      </c>
      <c r="I101" s="4">
        <v>16</v>
      </c>
      <c r="J101" s="4">
        <v>9</v>
      </c>
      <c r="K101" s="4">
        <v>2</v>
      </c>
      <c r="L101" s="4">
        <v>6</v>
      </c>
      <c r="M101" s="4">
        <v>12</v>
      </c>
      <c r="N101" s="4">
        <v>5</v>
      </c>
      <c r="O101" s="4">
        <v>-6</v>
      </c>
      <c r="P101" s="4">
        <v>25</v>
      </c>
      <c r="Q101" s="4">
        <v>17</v>
      </c>
      <c r="R101" s="4">
        <v>15</v>
      </c>
      <c r="S101" s="4">
        <v>9</v>
      </c>
      <c r="T101" s="4">
        <v>25</v>
      </c>
      <c r="U101" s="4">
        <v>8</v>
      </c>
      <c r="V101" s="4">
        <v>278</v>
      </c>
      <c r="Y101" s="3">
        <v>1973</v>
      </c>
      <c r="Z101" s="4">
        <v>15</v>
      </c>
      <c r="AA101" s="4">
        <v>2</v>
      </c>
      <c r="AB101" s="4">
        <v>12</v>
      </c>
      <c r="AC101" s="4">
        <v>17</v>
      </c>
      <c r="AD101" s="4">
        <v>28</v>
      </c>
      <c r="AE101" s="4">
        <v>26</v>
      </c>
      <c r="AF101" s="4">
        <v>20</v>
      </c>
      <c r="AG101" s="4">
        <v>20</v>
      </c>
      <c r="AH101" s="4">
        <v>-1</v>
      </c>
      <c r="AI101" s="4">
        <v>14</v>
      </c>
      <c r="AJ101" s="4">
        <v>29</v>
      </c>
      <c r="AK101" s="4">
        <v>6</v>
      </c>
      <c r="AL101" s="4">
        <v>10</v>
      </c>
      <c r="AM101" s="4">
        <v>20</v>
      </c>
      <c r="AN101" s="4">
        <v>218</v>
      </c>
    </row>
    <row r="102" spans="3:40" x14ac:dyDescent="0.5">
      <c r="C102" s="3">
        <v>1974</v>
      </c>
      <c r="D102" s="4">
        <v>-14</v>
      </c>
      <c r="E102" s="4">
        <v>-28</v>
      </c>
      <c r="F102" s="4">
        <v>-5</v>
      </c>
      <c r="G102" s="4">
        <v>-10</v>
      </c>
      <c r="H102" s="4">
        <v>0</v>
      </c>
      <c r="I102" s="4">
        <v>-5</v>
      </c>
      <c r="J102" s="4">
        <v>-3</v>
      </c>
      <c r="K102" s="4">
        <v>11</v>
      </c>
      <c r="L102" s="4">
        <v>-14</v>
      </c>
      <c r="M102" s="4">
        <v>-7</v>
      </c>
      <c r="N102" s="4">
        <v>-7</v>
      </c>
      <c r="O102" s="4">
        <v>-10</v>
      </c>
      <c r="P102" s="4">
        <v>-16</v>
      </c>
      <c r="Q102" s="4">
        <v>-7</v>
      </c>
      <c r="R102" s="4">
        <v>-8</v>
      </c>
      <c r="S102" s="4">
        <v>1</v>
      </c>
      <c r="T102" s="4">
        <v>-5</v>
      </c>
      <c r="U102" s="4">
        <v>-9</v>
      </c>
      <c r="V102" s="4">
        <v>-136</v>
      </c>
      <c r="Y102" s="3">
        <v>1974</v>
      </c>
      <c r="Z102" s="4">
        <v>-8</v>
      </c>
      <c r="AA102" s="4">
        <v>-18</v>
      </c>
      <c r="AB102" s="4">
        <v>-17</v>
      </c>
      <c r="AC102" s="4">
        <v>-19</v>
      </c>
      <c r="AD102" s="4">
        <v>-16</v>
      </c>
      <c r="AE102" s="4">
        <v>-11</v>
      </c>
      <c r="AF102" s="4">
        <v>21</v>
      </c>
      <c r="AG102" s="4">
        <v>-29</v>
      </c>
      <c r="AH102" s="4">
        <v>-6</v>
      </c>
      <c r="AI102" s="4">
        <v>17</v>
      </c>
      <c r="AJ102" s="4">
        <v>58</v>
      </c>
      <c r="AK102" s="4">
        <v>-23</v>
      </c>
      <c r="AL102" s="4">
        <v>-19</v>
      </c>
      <c r="AM102" s="4">
        <v>4</v>
      </c>
      <c r="AN102" s="4">
        <v>-66</v>
      </c>
    </row>
    <row r="103" spans="3:40" x14ac:dyDescent="0.5">
      <c r="C103" s="3">
        <v>1975</v>
      </c>
      <c r="D103" s="4">
        <v>8</v>
      </c>
      <c r="E103" s="4">
        <v>7</v>
      </c>
      <c r="F103" s="4">
        <v>14</v>
      </c>
      <c r="G103" s="4">
        <v>6</v>
      </c>
      <c r="H103" s="4">
        <v>17</v>
      </c>
      <c r="I103" s="4">
        <v>0</v>
      </c>
      <c r="J103" s="4">
        <v>-2</v>
      </c>
      <c r="K103" s="4">
        <v>-21</v>
      </c>
      <c r="L103" s="4">
        <v>-2</v>
      </c>
      <c r="M103" s="4">
        <v>-9</v>
      </c>
      <c r="N103" s="4">
        <v>-16</v>
      </c>
      <c r="O103" s="4">
        <v>-17</v>
      </c>
      <c r="P103" s="4">
        <v>1</v>
      </c>
      <c r="Q103" s="4">
        <v>-1</v>
      </c>
      <c r="R103" s="4">
        <v>-1</v>
      </c>
      <c r="S103" s="4">
        <v>-8</v>
      </c>
      <c r="T103" s="4">
        <v>12</v>
      </c>
      <c r="U103" s="4">
        <v>-9</v>
      </c>
      <c r="V103" s="4">
        <v>-21</v>
      </c>
      <c r="Y103" s="3">
        <v>1975</v>
      </c>
      <c r="Z103" s="4">
        <v>-1</v>
      </c>
      <c r="AA103" s="4">
        <v>-6</v>
      </c>
      <c r="AB103" s="4">
        <v>12</v>
      </c>
      <c r="AC103" s="4">
        <v>-22</v>
      </c>
      <c r="AD103" s="4">
        <v>-14</v>
      </c>
      <c r="AE103" s="4">
        <v>35</v>
      </c>
      <c r="AF103" s="4">
        <v>13</v>
      </c>
      <c r="AG103" s="4">
        <v>22</v>
      </c>
      <c r="AH103" s="4">
        <v>4</v>
      </c>
      <c r="AI103" s="4">
        <v>12</v>
      </c>
      <c r="AJ103" s="4">
        <v>28</v>
      </c>
      <c r="AK103" s="4">
        <v>-29</v>
      </c>
      <c r="AL103" s="4">
        <v>-5</v>
      </c>
      <c r="AM103" s="4">
        <v>2</v>
      </c>
      <c r="AN103" s="4">
        <v>51</v>
      </c>
    </row>
    <row r="104" spans="3:40" x14ac:dyDescent="0.5">
      <c r="C104" s="3">
        <v>1976</v>
      </c>
      <c r="D104" s="4">
        <v>-1</v>
      </c>
      <c r="E104" s="4">
        <v>-6</v>
      </c>
      <c r="F104" s="4">
        <v>-21</v>
      </c>
      <c r="G104" s="4">
        <v>-9</v>
      </c>
      <c r="H104" s="4">
        <v>-23</v>
      </c>
      <c r="I104" s="4">
        <v>-15</v>
      </c>
      <c r="J104" s="4">
        <v>-10</v>
      </c>
      <c r="K104" s="4">
        <v>-16</v>
      </c>
      <c r="L104" s="4">
        <v>-9</v>
      </c>
      <c r="M104" s="4">
        <v>-26</v>
      </c>
      <c r="N104" s="4">
        <v>-6</v>
      </c>
      <c r="O104" s="4">
        <v>8</v>
      </c>
      <c r="P104" s="4">
        <v>-8</v>
      </c>
      <c r="Q104" s="4">
        <v>-13</v>
      </c>
      <c r="R104" s="4">
        <v>-11</v>
      </c>
      <c r="S104" s="4">
        <v>-14</v>
      </c>
      <c r="T104" s="4">
        <v>-18</v>
      </c>
      <c r="U104" s="4">
        <v>-14</v>
      </c>
      <c r="V104" s="4">
        <v>-212</v>
      </c>
      <c r="Y104" s="3">
        <v>1976</v>
      </c>
      <c r="Z104" s="4">
        <v>-11</v>
      </c>
      <c r="AA104" s="4">
        <v>-28</v>
      </c>
      <c r="AB104" s="4">
        <v>-26</v>
      </c>
      <c r="AC104" s="4">
        <v>-11</v>
      </c>
      <c r="AD104" s="4">
        <v>-7</v>
      </c>
      <c r="AE104" s="4">
        <v>-33</v>
      </c>
      <c r="AF104" s="4">
        <v>9</v>
      </c>
      <c r="AG104" s="4">
        <v>-4</v>
      </c>
      <c r="AH104" s="4">
        <v>10</v>
      </c>
      <c r="AI104" s="4">
        <v>2</v>
      </c>
      <c r="AJ104" s="4">
        <v>-36</v>
      </c>
      <c r="AK104" s="4">
        <v>-14</v>
      </c>
      <c r="AL104" s="4">
        <v>-21</v>
      </c>
      <c r="AM104" s="4">
        <v>-2</v>
      </c>
      <c r="AN104" s="4">
        <v>-172</v>
      </c>
    </row>
    <row r="105" spans="3:40" x14ac:dyDescent="0.5">
      <c r="C105" s="3">
        <v>1977</v>
      </c>
      <c r="D105" s="4">
        <v>17</v>
      </c>
      <c r="E105" s="4">
        <v>21</v>
      </c>
      <c r="F105" s="4">
        <v>24</v>
      </c>
      <c r="G105" s="4">
        <v>26</v>
      </c>
      <c r="H105" s="4">
        <v>30</v>
      </c>
      <c r="I105" s="4">
        <v>25</v>
      </c>
      <c r="J105" s="4">
        <v>23</v>
      </c>
      <c r="K105" s="4">
        <v>20</v>
      </c>
      <c r="L105" s="4">
        <v>2</v>
      </c>
      <c r="M105" s="4">
        <v>5</v>
      </c>
      <c r="N105" s="4">
        <v>20</v>
      </c>
      <c r="O105" s="4">
        <v>5</v>
      </c>
      <c r="P105" s="4">
        <v>15</v>
      </c>
      <c r="Q105" s="4">
        <v>19</v>
      </c>
      <c r="R105" s="4">
        <v>18</v>
      </c>
      <c r="S105" s="4">
        <v>23</v>
      </c>
      <c r="T105" s="4">
        <v>27</v>
      </c>
      <c r="U105" s="4">
        <v>9</v>
      </c>
      <c r="V105" s="4">
        <v>329</v>
      </c>
      <c r="Y105" s="3">
        <v>1977</v>
      </c>
      <c r="Z105" s="4">
        <v>18</v>
      </c>
      <c r="AA105" s="4">
        <v>7</v>
      </c>
      <c r="AB105" s="4">
        <v>14</v>
      </c>
      <c r="AC105" s="4">
        <v>16</v>
      </c>
      <c r="AD105" s="4">
        <v>23</v>
      </c>
      <c r="AE105" s="4">
        <v>22</v>
      </c>
      <c r="AF105" s="4">
        <v>23</v>
      </c>
      <c r="AG105" s="4">
        <v>24</v>
      </c>
      <c r="AH105" s="4">
        <v>37</v>
      </c>
      <c r="AI105" s="4">
        <v>25</v>
      </c>
      <c r="AJ105" s="4">
        <v>13</v>
      </c>
      <c r="AK105" s="4">
        <v>10</v>
      </c>
      <c r="AL105" s="4">
        <v>12</v>
      </c>
      <c r="AM105" s="4">
        <v>24</v>
      </c>
      <c r="AN105" s="4">
        <v>268</v>
      </c>
    </row>
    <row r="106" spans="3:40" x14ac:dyDescent="0.5">
      <c r="C106" s="3">
        <v>1978</v>
      </c>
      <c r="D106" s="4">
        <v>8</v>
      </c>
      <c r="E106" s="4">
        <v>12</v>
      </c>
      <c r="F106" s="4">
        <v>21</v>
      </c>
      <c r="G106" s="4">
        <v>14</v>
      </c>
      <c r="H106" s="4">
        <v>7</v>
      </c>
      <c r="I106" s="4">
        <v>-2</v>
      </c>
      <c r="J106" s="4">
        <v>7</v>
      </c>
      <c r="K106" s="4">
        <v>-19</v>
      </c>
      <c r="L106" s="4">
        <v>6</v>
      </c>
      <c r="M106" s="4">
        <v>1</v>
      </c>
      <c r="N106" s="4">
        <v>18</v>
      </c>
      <c r="O106" s="4">
        <v>11</v>
      </c>
      <c r="P106" s="4">
        <v>9</v>
      </c>
      <c r="Q106" s="4">
        <v>7</v>
      </c>
      <c r="R106" s="4">
        <v>7</v>
      </c>
      <c r="S106" s="4">
        <v>-5</v>
      </c>
      <c r="T106" s="4">
        <v>14</v>
      </c>
      <c r="U106" s="4">
        <v>8</v>
      </c>
      <c r="V106" s="4">
        <v>124</v>
      </c>
      <c r="Y106" s="3">
        <v>1978</v>
      </c>
      <c r="Z106" s="4">
        <v>7</v>
      </c>
      <c r="AA106" s="4">
        <v>-3</v>
      </c>
      <c r="AB106" s="4">
        <v>-3</v>
      </c>
      <c r="AC106" s="4">
        <v>9</v>
      </c>
      <c r="AD106" s="4">
        <v>7</v>
      </c>
      <c r="AE106" s="4">
        <v>0</v>
      </c>
      <c r="AF106" s="4">
        <v>20</v>
      </c>
      <c r="AG106" s="4">
        <v>-8</v>
      </c>
      <c r="AH106" s="4">
        <v>16</v>
      </c>
      <c r="AI106" s="4">
        <v>15</v>
      </c>
      <c r="AJ106" s="4">
        <v>-5</v>
      </c>
      <c r="AK106" s="4">
        <v>10</v>
      </c>
      <c r="AL106" s="4">
        <v>2</v>
      </c>
      <c r="AM106" s="4">
        <v>12</v>
      </c>
      <c r="AN106" s="4">
        <v>79</v>
      </c>
    </row>
    <row r="107" spans="3:40" x14ac:dyDescent="0.5">
      <c r="C107" s="3">
        <v>1979</v>
      </c>
      <c r="D107" s="4">
        <v>15</v>
      </c>
      <c r="E107" s="4">
        <v>-7</v>
      </c>
      <c r="F107" s="4">
        <v>18</v>
      </c>
      <c r="G107" s="4">
        <v>12</v>
      </c>
      <c r="H107" s="4">
        <v>6</v>
      </c>
      <c r="I107" s="4">
        <v>14</v>
      </c>
      <c r="J107" s="4">
        <v>2</v>
      </c>
      <c r="K107" s="4">
        <v>14</v>
      </c>
      <c r="L107" s="4">
        <v>26</v>
      </c>
      <c r="M107" s="4">
        <v>26</v>
      </c>
      <c r="N107" s="4">
        <v>29</v>
      </c>
      <c r="O107" s="4">
        <v>48</v>
      </c>
      <c r="P107" s="4">
        <v>6</v>
      </c>
      <c r="Q107" s="4">
        <v>14</v>
      </c>
      <c r="R107" s="4">
        <v>17</v>
      </c>
      <c r="S107" s="4">
        <v>10</v>
      </c>
      <c r="T107" s="4">
        <v>12</v>
      </c>
      <c r="U107" s="4">
        <v>27</v>
      </c>
      <c r="V107" s="4">
        <v>289</v>
      </c>
      <c r="Y107" s="3">
        <v>1979</v>
      </c>
      <c r="Z107" s="4">
        <v>17</v>
      </c>
      <c r="AA107" s="4">
        <v>9</v>
      </c>
      <c r="AB107" s="4">
        <v>-3</v>
      </c>
      <c r="AC107" s="4">
        <v>25</v>
      </c>
      <c r="AD107" s="4">
        <v>27</v>
      </c>
      <c r="AE107" s="4">
        <v>6</v>
      </c>
      <c r="AF107" s="4">
        <v>32</v>
      </c>
      <c r="AG107" s="4">
        <v>-59</v>
      </c>
      <c r="AH107" s="4">
        <v>38</v>
      </c>
      <c r="AI107" s="4">
        <v>25</v>
      </c>
      <c r="AJ107" s="4">
        <v>-24</v>
      </c>
      <c r="AK107" s="4">
        <v>24</v>
      </c>
      <c r="AL107" s="4">
        <v>8</v>
      </c>
      <c r="AM107" s="4">
        <v>26</v>
      </c>
      <c r="AN107" s="4">
        <v>151</v>
      </c>
    </row>
    <row r="108" spans="3:40" x14ac:dyDescent="0.5">
      <c r="C108" s="3">
        <v>1980</v>
      </c>
      <c r="D108" s="4">
        <v>30</v>
      </c>
      <c r="E108" s="4">
        <v>42</v>
      </c>
      <c r="F108" s="4">
        <v>29</v>
      </c>
      <c r="G108" s="4">
        <v>33</v>
      </c>
      <c r="H108" s="4">
        <v>35</v>
      </c>
      <c r="I108" s="4">
        <v>18</v>
      </c>
      <c r="J108" s="4">
        <v>28</v>
      </c>
      <c r="K108" s="4">
        <v>26</v>
      </c>
      <c r="L108" s="4">
        <v>22</v>
      </c>
      <c r="M108" s="4">
        <v>19</v>
      </c>
      <c r="N108" s="4">
        <v>29</v>
      </c>
      <c r="O108" s="4">
        <v>20</v>
      </c>
      <c r="P108" s="4">
        <v>40</v>
      </c>
      <c r="Q108" s="4">
        <v>30</v>
      </c>
      <c r="R108" s="4">
        <v>28</v>
      </c>
      <c r="S108" s="4">
        <v>24</v>
      </c>
      <c r="T108" s="4">
        <v>32</v>
      </c>
      <c r="U108" s="4">
        <v>23</v>
      </c>
      <c r="V108" s="4">
        <v>508</v>
      </c>
      <c r="Y108" s="3">
        <v>1980</v>
      </c>
      <c r="Z108" s="4">
        <v>28</v>
      </c>
      <c r="AA108" s="4">
        <v>2</v>
      </c>
      <c r="AB108" s="4">
        <v>6</v>
      </c>
      <c r="AC108" s="4">
        <v>30</v>
      </c>
      <c r="AD108" s="4">
        <v>28</v>
      </c>
      <c r="AE108" s="4">
        <v>1</v>
      </c>
      <c r="AF108" s="4">
        <v>35</v>
      </c>
      <c r="AG108" s="4">
        <v>32</v>
      </c>
      <c r="AH108" s="4">
        <v>37</v>
      </c>
      <c r="AI108" s="4">
        <v>46</v>
      </c>
      <c r="AJ108" s="4">
        <v>104</v>
      </c>
      <c r="AK108" s="4">
        <v>31</v>
      </c>
      <c r="AL108" s="4">
        <v>16</v>
      </c>
      <c r="AM108" s="4">
        <v>39</v>
      </c>
      <c r="AN108" s="4">
        <v>435</v>
      </c>
    </row>
    <row r="109" spans="3:40" x14ac:dyDescent="0.5">
      <c r="C109" s="3">
        <v>1981</v>
      </c>
      <c r="D109" s="4">
        <v>55</v>
      </c>
      <c r="E109" s="4">
        <v>41</v>
      </c>
      <c r="F109" s="4">
        <v>49</v>
      </c>
      <c r="G109" s="4">
        <v>32</v>
      </c>
      <c r="H109" s="4">
        <v>23</v>
      </c>
      <c r="I109" s="4">
        <v>31</v>
      </c>
      <c r="J109" s="4">
        <v>35</v>
      </c>
      <c r="K109" s="4">
        <v>33</v>
      </c>
      <c r="L109" s="4">
        <v>18</v>
      </c>
      <c r="M109" s="4">
        <v>14</v>
      </c>
      <c r="N109" s="4">
        <v>22</v>
      </c>
      <c r="O109" s="4">
        <v>40</v>
      </c>
      <c r="P109" s="4">
        <v>39</v>
      </c>
      <c r="Q109" s="4">
        <v>31</v>
      </c>
      <c r="R109" s="4">
        <v>33</v>
      </c>
      <c r="S109" s="4">
        <v>33</v>
      </c>
      <c r="T109" s="4">
        <v>35</v>
      </c>
      <c r="U109" s="4">
        <v>18</v>
      </c>
      <c r="V109" s="4">
        <v>582</v>
      </c>
      <c r="Y109" s="3">
        <v>1981</v>
      </c>
      <c r="Z109" s="4">
        <v>33</v>
      </c>
      <c r="AA109" s="4">
        <v>9</v>
      </c>
      <c r="AB109" s="4">
        <v>50</v>
      </c>
      <c r="AC109" s="4">
        <v>19</v>
      </c>
      <c r="AD109" s="4">
        <v>16</v>
      </c>
      <c r="AE109" s="4">
        <v>77</v>
      </c>
      <c r="AF109" s="4">
        <v>29</v>
      </c>
      <c r="AG109" s="4">
        <v>129</v>
      </c>
      <c r="AH109" s="4">
        <v>37</v>
      </c>
      <c r="AI109" s="4">
        <v>35</v>
      </c>
      <c r="AJ109" s="4">
        <v>54</v>
      </c>
      <c r="AK109" s="4">
        <v>22</v>
      </c>
      <c r="AL109" s="4">
        <v>39</v>
      </c>
      <c r="AM109" s="4">
        <v>27</v>
      </c>
      <c r="AN109" s="4">
        <v>576</v>
      </c>
    </row>
    <row r="110" spans="3:40" x14ac:dyDescent="0.5">
      <c r="C110" s="3">
        <v>1982</v>
      </c>
      <c r="D110" s="4">
        <v>9</v>
      </c>
      <c r="E110" s="4">
        <v>16</v>
      </c>
      <c r="F110" s="4">
        <v>-2</v>
      </c>
      <c r="G110" s="4">
        <v>9</v>
      </c>
      <c r="H110" s="4">
        <v>15</v>
      </c>
      <c r="I110" s="4">
        <v>4</v>
      </c>
      <c r="J110" s="4">
        <v>13</v>
      </c>
      <c r="K110" s="4">
        <v>9</v>
      </c>
      <c r="L110" s="4">
        <v>16</v>
      </c>
      <c r="M110" s="4">
        <v>14</v>
      </c>
      <c r="N110" s="4">
        <v>14</v>
      </c>
      <c r="O110" s="4">
        <v>43</v>
      </c>
      <c r="P110" s="4">
        <v>22</v>
      </c>
      <c r="Q110" s="4">
        <v>13</v>
      </c>
      <c r="R110" s="4">
        <v>13</v>
      </c>
      <c r="S110" s="4">
        <v>9</v>
      </c>
      <c r="T110" s="4">
        <v>7</v>
      </c>
      <c r="U110" s="4">
        <v>14</v>
      </c>
      <c r="V110" s="4">
        <v>238</v>
      </c>
      <c r="Y110" s="3">
        <v>1982</v>
      </c>
      <c r="Z110" s="4">
        <v>13</v>
      </c>
      <c r="AA110" s="4">
        <v>-8</v>
      </c>
      <c r="AB110" s="4">
        <v>-6</v>
      </c>
      <c r="AC110" s="4">
        <v>27</v>
      </c>
      <c r="AD110" s="4">
        <v>30</v>
      </c>
      <c r="AE110" s="4">
        <v>7</v>
      </c>
      <c r="AF110" s="4">
        <v>18</v>
      </c>
      <c r="AG110" s="4">
        <v>-27</v>
      </c>
      <c r="AH110" s="4">
        <v>30</v>
      </c>
      <c r="AI110" s="4">
        <v>14</v>
      </c>
      <c r="AJ110" s="4">
        <v>-27</v>
      </c>
      <c r="AK110" s="4">
        <v>24</v>
      </c>
      <c r="AL110" s="4">
        <v>6</v>
      </c>
      <c r="AM110" s="4">
        <v>21</v>
      </c>
      <c r="AN110" s="4">
        <v>122</v>
      </c>
    </row>
    <row r="111" spans="3:40" x14ac:dyDescent="0.5">
      <c r="C111" s="3">
        <v>1983</v>
      </c>
      <c r="D111" s="4">
        <v>53</v>
      </c>
      <c r="E111" s="4">
        <v>41</v>
      </c>
      <c r="F111" s="4">
        <v>42</v>
      </c>
      <c r="G111" s="4">
        <v>30</v>
      </c>
      <c r="H111" s="4">
        <v>36</v>
      </c>
      <c r="I111" s="4">
        <v>19</v>
      </c>
      <c r="J111" s="4">
        <v>15</v>
      </c>
      <c r="K111" s="4">
        <v>31</v>
      </c>
      <c r="L111" s="4">
        <v>38</v>
      </c>
      <c r="M111" s="4">
        <v>16</v>
      </c>
      <c r="N111" s="4">
        <v>31</v>
      </c>
      <c r="O111" s="4">
        <v>17</v>
      </c>
      <c r="P111" s="4">
        <v>45</v>
      </c>
      <c r="Q111" s="4">
        <v>33</v>
      </c>
      <c r="R111" s="4">
        <v>31</v>
      </c>
      <c r="S111" s="4">
        <v>22</v>
      </c>
      <c r="T111" s="4">
        <v>36</v>
      </c>
      <c r="U111" s="4">
        <v>28</v>
      </c>
      <c r="V111" s="4">
        <v>564</v>
      </c>
      <c r="Y111" s="3">
        <v>1983</v>
      </c>
      <c r="Z111" s="4">
        <v>31</v>
      </c>
      <c r="AA111" s="4">
        <v>-6</v>
      </c>
      <c r="AB111" s="4">
        <v>24</v>
      </c>
      <c r="AC111" s="4">
        <v>44</v>
      </c>
      <c r="AD111" s="4">
        <v>58</v>
      </c>
      <c r="AE111" s="4">
        <v>67</v>
      </c>
      <c r="AF111" s="4">
        <v>20</v>
      </c>
      <c r="AG111" s="4">
        <v>32</v>
      </c>
      <c r="AH111" s="4">
        <v>29</v>
      </c>
      <c r="AI111" s="4">
        <v>20</v>
      </c>
      <c r="AJ111" s="4">
        <v>4</v>
      </c>
      <c r="AK111" s="4">
        <v>30</v>
      </c>
      <c r="AL111" s="4">
        <v>26</v>
      </c>
      <c r="AM111" s="4">
        <v>35</v>
      </c>
      <c r="AN111" s="4">
        <v>414</v>
      </c>
    </row>
    <row r="112" spans="3:40" x14ac:dyDescent="0.5">
      <c r="C112" s="3">
        <v>1984</v>
      </c>
      <c r="D112" s="4">
        <v>31</v>
      </c>
      <c r="E112" s="4">
        <v>18</v>
      </c>
      <c r="F112" s="4">
        <v>29</v>
      </c>
      <c r="G112" s="4">
        <v>10</v>
      </c>
      <c r="H112" s="4">
        <v>34</v>
      </c>
      <c r="I112" s="4">
        <v>6</v>
      </c>
      <c r="J112" s="4">
        <v>15</v>
      </c>
      <c r="K112" s="4">
        <v>15</v>
      </c>
      <c r="L112" s="4">
        <v>19</v>
      </c>
      <c r="M112" s="4">
        <v>15</v>
      </c>
      <c r="N112" s="4">
        <v>4</v>
      </c>
      <c r="O112" s="4">
        <v>-6</v>
      </c>
      <c r="P112" s="4">
        <v>22</v>
      </c>
      <c r="Q112" s="4">
        <v>18</v>
      </c>
      <c r="R112" s="4">
        <v>16</v>
      </c>
      <c r="S112" s="4">
        <v>12</v>
      </c>
      <c r="T112" s="4">
        <v>24</v>
      </c>
      <c r="U112" s="4">
        <v>13</v>
      </c>
      <c r="V112" s="4">
        <v>295</v>
      </c>
      <c r="Y112" s="3">
        <v>1984</v>
      </c>
      <c r="Z112" s="4">
        <v>16</v>
      </c>
      <c r="AA112" s="4">
        <v>-12</v>
      </c>
      <c r="AB112" s="4">
        <v>3</v>
      </c>
      <c r="AC112" s="4">
        <v>19</v>
      </c>
      <c r="AD112" s="4">
        <v>30</v>
      </c>
      <c r="AE112" s="4">
        <v>7</v>
      </c>
      <c r="AF112" s="4">
        <v>16</v>
      </c>
      <c r="AG112" s="4">
        <v>39</v>
      </c>
      <c r="AH112" s="4">
        <v>24</v>
      </c>
      <c r="AI112" s="4">
        <v>25</v>
      </c>
      <c r="AJ112" s="4">
        <v>58</v>
      </c>
      <c r="AK112" s="4">
        <v>8</v>
      </c>
      <c r="AL112" s="4">
        <v>5</v>
      </c>
      <c r="AM112" s="4">
        <v>27</v>
      </c>
      <c r="AN112" s="4">
        <v>265</v>
      </c>
    </row>
    <row r="113" spans="3:40" x14ac:dyDescent="0.5">
      <c r="C113" s="3">
        <v>1985</v>
      </c>
      <c r="D113" s="4">
        <v>22</v>
      </c>
      <c r="E113" s="4">
        <v>-5</v>
      </c>
      <c r="F113" s="4">
        <v>17</v>
      </c>
      <c r="G113" s="4">
        <v>10</v>
      </c>
      <c r="H113" s="4">
        <v>18</v>
      </c>
      <c r="I113" s="4">
        <v>17</v>
      </c>
      <c r="J113" s="4">
        <v>2</v>
      </c>
      <c r="K113" s="4">
        <v>15</v>
      </c>
      <c r="L113" s="4">
        <v>15</v>
      </c>
      <c r="M113" s="4">
        <v>13</v>
      </c>
      <c r="N113" s="4">
        <v>10</v>
      </c>
      <c r="O113" s="4">
        <v>16</v>
      </c>
      <c r="P113" s="4">
        <v>4</v>
      </c>
      <c r="Q113" s="4">
        <v>11</v>
      </c>
      <c r="R113" s="4">
        <v>12</v>
      </c>
      <c r="S113" s="4">
        <v>11</v>
      </c>
      <c r="T113" s="4">
        <v>15</v>
      </c>
      <c r="U113" s="4">
        <v>13</v>
      </c>
      <c r="V113" s="4">
        <v>216</v>
      </c>
      <c r="Y113" s="3">
        <v>1985</v>
      </c>
      <c r="Z113" s="4">
        <v>12</v>
      </c>
      <c r="AA113" s="4">
        <v>-1</v>
      </c>
      <c r="AB113" s="4">
        <v>-3</v>
      </c>
      <c r="AC113" s="4">
        <v>11</v>
      </c>
      <c r="AD113" s="4">
        <v>18</v>
      </c>
      <c r="AE113" s="4">
        <v>-27</v>
      </c>
      <c r="AF113" s="4">
        <v>29</v>
      </c>
      <c r="AG113" s="4">
        <v>41</v>
      </c>
      <c r="AH113" s="4">
        <v>38</v>
      </c>
      <c r="AI113" s="4">
        <v>29</v>
      </c>
      <c r="AJ113" s="4">
        <v>14</v>
      </c>
      <c r="AK113" s="4">
        <v>4</v>
      </c>
      <c r="AL113" s="4">
        <v>0</v>
      </c>
      <c r="AM113" s="4">
        <v>25</v>
      </c>
      <c r="AN113" s="4">
        <v>190</v>
      </c>
    </row>
    <row r="114" spans="3:40" x14ac:dyDescent="0.5">
      <c r="C114" s="3">
        <v>1986</v>
      </c>
      <c r="D114" s="4">
        <v>30</v>
      </c>
      <c r="E114" s="4">
        <v>38</v>
      </c>
      <c r="F114" s="4">
        <v>29</v>
      </c>
      <c r="G114" s="4">
        <v>26</v>
      </c>
      <c r="H114" s="4">
        <v>26</v>
      </c>
      <c r="I114" s="4">
        <v>14</v>
      </c>
      <c r="J114" s="4">
        <v>13</v>
      </c>
      <c r="K114" s="4">
        <v>12</v>
      </c>
      <c r="L114" s="4">
        <v>2</v>
      </c>
      <c r="M114" s="4">
        <v>14</v>
      </c>
      <c r="N114" s="4">
        <v>11</v>
      </c>
      <c r="O114" s="4">
        <v>16</v>
      </c>
      <c r="P114" s="4">
        <v>28</v>
      </c>
      <c r="Q114" s="4">
        <v>19</v>
      </c>
      <c r="R114" s="4">
        <v>19</v>
      </c>
      <c r="S114" s="4">
        <v>13</v>
      </c>
      <c r="T114" s="4">
        <v>27</v>
      </c>
      <c r="U114" s="4">
        <v>9</v>
      </c>
      <c r="V114" s="4">
        <v>346</v>
      </c>
      <c r="Y114" s="3">
        <v>1986</v>
      </c>
      <c r="Z114" s="4">
        <v>19</v>
      </c>
      <c r="AA114" s="4">
        <v>4</v>
      </c>
      <c r="AB114" s="4">
        <v>11</v>
      </c>
      <c r="AC114" s="4">
        <v>24</v>
      </c>
      <c r="AD114" s="4">
        <v>30</v>
      </c>
      <c r="AE114" s="4">
        <v>24</v>
      </c>
      <c r="AF114" s="4">
        <v>26</v>
      </c>
      <c r="AG114" s="4">
        <v>7</v>
      </c>
      <c r="AH114" s="4">
        <v>26</v>
      </c>
      <c r="AI114" s="4">
        <v>21</v>
      </c>
      <c r="AJ114" s="4">
        <v>-3</v>
      </c>
      <c r="AK114" s="4">
        <v>18</v>
      </c>
      <c r="AL114" s="4">
        <v>14</v>
      </c>
      <c r="AM114" s="4">
        <v>25</v>
      </c>
      <c r="AN114" s="4">
        <v>246</v>
      </c>
    </row>
    <row r="115" spans="3:40" x14ac:dyDescent="0.5">
      <c r="C115" s="3">
        <v>1987</v>
      </c>
      <c r="D115" s="4">
        <v>36</v>
      </c>
      <c r="E115" s="4">
        <v>46</v>
      </c>
      <c r="F115" s="4">
        <v>17</v>
      </c>
      <c r="G115" s="4">
        <v>26</v>
      </c>
      <c r="H115" s="4">
        <v>26</v>
      </c>
      <c r="I115" s="4">
        <v>36</v>
      </c>
      <c r="J115" s="4">
        <v>47</v>
      </c>
      <c r="K115" s="4">
        <v>28</v>
      </c>
      <c r="L115" s="4">
        <v>40</v>
      </c>
      <c r="M115" s="4">
        <v>33</v>
      </c>
      <c r="N115" s="4">
        <v>26</v>
      </c>
      <c r="O115" s="4">
        <v>48</v>
      </c>
      <c r="P115" s="4">
        <v>33</v>
      </c>
      <c r="Q115" s="4">
        <v>31</v>
      </c>
      <c r="R115" s="4">
        <v>34</v>
      </c>
      <c r="S115" s="4">
        <v>37</v>
      </c>
      <c r="T115" s="4">
        <v>23</v>
      </c>
      <c r="U115" s="4">
        <v>33</v>
      </c>
      <c r="V115" s="4">
        <v>600</v>
      </c>
      <c r="Y115" s="3">
        <v>1987</v>
      </c>
      <c r="Z115" s="4">
        <v>34</v>
      </c>
      <c r="AA115" s="4">
        <v>14</v>
      </c>
      <c r="AB115" s="4">
        <v>7</v>
      </c>
      <c r="AC115" s="4">
        <v>60</v>
      </c>
      <c r="AD115" s="4">
        <v>63</v>
      </c>
      <c r="AE115" s="4">
        <v>13</v>
      </c>
      <c r="AF115" s="4">
        <v>33</v>
      </c>
      <c r="AG115" s="4">
        <v>-26</v>
      </c>
      <c r="AH115" s="4">
        <v>21</v>
      </c>
      <c r="AI115" s="4">
        <v>27</v>
      </c>
      <c r="AJ115" s="4">
        <v>18</v>
      </c>
      <c r="AK115" s="4">
        <v>56</v>
      </c>
      <c r="AL115" s="4">
        <v>27</v>
      </c>
      <c r="AM115" s="4">
        <v>41</v>
      </c>
      <c r="AN115" s="4">
        <v>388</v>
      </c>
    </row>
    <row r="116" spans="3:40" x14ac:dyDescent="0.5">
      <c r="C116" s="3">
        <v>1988</v>
      </c>
      <c r="D116" s="4">
        <v>57</v>
      </c>
      <c r="E116" s="4">
        <v>42</v>
      </c>
      <c r="F116" s="4">
        <v>49</v>
      </c>
      <c r="G116" s="4">
        <v>44</v>
      </c>
      <c r="H116" s="4">
        <v>44</v>
      </c>
      <c r="I116" s="4">
        <v>42</v>
      </c>
      <c r="J116" s="4">
        <v>35</v>
      </c>
      <c r="K116" s="4">
        <v>44</v>
      </c>
      <c r="L116" s="4">
        <v>41</v>
      </c>
      <c r="M116" s="4">
        <v>38</v>
      </c>
      <c r="N116" s="4">
        <v>11</v>
      </c>
      <c r="O116" s="4">
        <v>33</v>
      </c>
      <c r="P116" s="4">
        <v>49</v>
      </c>
      <c r="Q116" s="4">
        <v>41</v>
      </c>
      <c r="R116" s="4">
        <v>40</v>
      </c>
      <c r="S116" s="4">
        <v>40</v>
      </c>
      <c r="T116" s="4">
        <v>46</v>
      </c>
      <c r="U116" s="4">
        <v>30</v>
      </c>
      <c r="V116" s="4">
        <v>726</v>
      </c>
      <c r="Y116" s="3">
        <v>1988</v>
      </c>
      <c r="Z116" s="4">
        <v>40</v>
      </c>
      <c r="AA116" s="4">
        <v>23</v>
      </c>
      <c r="AB116" s="4">
        <v>40</v>
      </c>
      <c r="AC116" s="4">
        <v>38</v>
      </c>
      <c r="AD116" s="4">
        <v>45</v>
      </c>
      <c r="AE116" s="4">
        <v>49</v>
      </c>
      <c r="AF116" s="4">
        <v>39</v>
      </c>
      <c r="AG116" s="4">
        <v>75</v>
      </c>
      <c r="AH116" s="4">
        <v>18</v>
      </c>
      <c r="AI116" s="4">
        <v>42</v>
      </c>
      <c r="AJ116" s="4">
        <v>105</v>
      </c>
      <c r="AK116" s="4">
        <v>32</v>
      </c>
      <c r="AL116" s="4">
        <v>37</v>
      </c>
      <c r="AM116" s="4">
        <v>43</v>
      </c>
      <c r="AN116" s="4">
        <v>626</v>
      </c>
    </row>
    <row r="117" spans="3:40" x14ac:dyDescent="0.5">
      <c r="C117" s="3">
        <v>1989</v>
      </c>
      <c r="D117" s="4">
        <v>16</v>
      </c>
      <c r="E117" s="4">
        <v>35</v>
      </c>
      <c r="F117" s="4">
        <v>36</v>
      </c>
      <c r="G117" s="4">
        <v>33</v>
      </c>
      <c r="H117" s="4">
        <v>17</v>
      </c>
      <c r="I117" s="4">
        <v>15</v>
      </c>
      <c r="J117" s="4">
        <v>33</v>
      </c>
      <c r="K117" s="4">
        <v>35</v>
      </c>
      <c r="L117" s="4">
        <v>37</v>
      </c>
      <c r="M117" s="4">
        <v>33</v>
      </c>
      <c r="N117" s="4">
        <v>19</v>
      </c>
      <c r="O117" s="4">
        <v>36</v>
      </c>
      <c r="P117" s="4">
        <v>28</v>
      </c>
      <c r="Q117" s="4">
        <v>29</v>
      </c>
      <c r="R117" s="4">
        <v>29</v>
      </c>
      <c r="S117" s="4">
        <v>27</v>
      </c>
      <c r="T117" s="4">
        <v>29</v>
      </c>
      <c r="U117" s="4">
        <v>30</v>
      </c>
      <c r="V117" s="4">
        <v>517</v>
      </c>
      <c r="Y117" s="3">
        <v>1989</v>
      </c>
      <c r="Z117" s="4">
        <v>29</v>
      </c>
      <c r="AA117" s="4">
        <v>27</v>
      </c>
      <c r="AB117" s="4">
        <v>42</v>
      </c>
      <c r="AC117" s="4">
        <v>16</v>
      </c>
      <c r="AD117" s="4">
        <v>22</v>
      </c>
      <c r="AE117" s="4">
        <v>67</v>
      </c>
      <c r="AF117" s="4">
        <v>37</v>
      </c>
      <c r="AG117" s="4">
        <v>40</v>
      </c>
      <c r="AH117" s="4">
        <v>25</v>
      </c>
      <c r="AI117" s="4">
        <v>33</v>
      </c>
      <c r="AJ117" s="4">
        <v>34</v>
      </c>
      <c r="AK117" s="4">
        <v>10</v>
      </c>
      <c r="AL117" s="4">
        <v>29</v>
      </c>
      <c r="AM117" s="4">
        <v>29</v>
      </c>
      <c r="AN117" s="4">
        <v>440</v>
      </c>
    </row>
    <row r="118" spans="3:40" x14ac:dyDescent="0.5">
      <c r="C118" s="3">
        <v>1990</v>
      </c>
      <c r="D118" s="4">
        <v>40</v>
      </c>
      <c r="E118" s="4">
        <v>41</v>
      </c>
      <c r="F118" s="4">
        <v>76</v>
      </c>
      <c r="G118" s="4">
        <v>54</v>
      </c>
      <c r="H118" s="4">
        <v>46</v>
      </c>
      <c r="I118" s="4">
        <v>38</v>
      </c>
      <c r="J118" s="4">
        <v>43</v>
      </c>
      <c r="K118" s="4">
        <v>30</v>
      </c>
      <c r="L118" s="4">
        <v>29</v>
      </c>
      <c r="M118" s="4">
        <v>42</v>
      </c>
      <c r="N118" s="4">
        <v>45</v>
      </c>
      <c r="O118" s="4">
        <v>41</v>
      </c>
      <c r="P118" s="4">
        <v>39</v>
      </c>
      <c r="Q118" s="4">
        <v>43</v>
      </c>
      <c r="R118" s="4">
        <v>44</v>
      </c>
      <c r="S118" s="4">
        <v>37</v>
      </c>
      <c r="T118" s="4">
        <v>58</v>
      </c>
      <c r="U118" s="4">
        <v>39</v>
      </c>
      <c r="V118" s="4">
        <v>785</v>
      </c>
      <c r="Y118" s="3">
        <v>1990</v>
      </c>
      <c r="Z118" s="4">
        <v>44</v>
      </c>
      <c r="AA118" s="4">
        <v>48</v>
      </c>
      <c r="AB118" s="4">
        <v>61</v>
      </c>
      <c r="AC118" s="4">
        <v>38</v>
      </c>
      <c r="AD118" s="4">
        <v>39</v>
      </c>
      <c r="AE118" s="4">
        <v>83</v>
      </c>
      <c r="AF118" s="4">
        <v>38</v>
      </c>
      <c r="AG118" s="4">
        <v>60</v>
      </c>
      <c r="AH118" s="4">
        <v>32</v>
      </c>
      <c r="AI118" s="4">
        <v>35</v>
      </c>
      <c r="AJ118" s="4">
        <v>28</v>
      </c>
      <c r="AK118" s="4">
        <v>36</v>
      </c>
      <c r="AL118" s="4">
        <v>51</v>
      </c>
      <c r="AM118" s="4">
        <v>36</v>
      </c>
      <c r="AN118" s="4">
        <v>629</v>
      </c>
    </row>
    <row r="119" spans="3:40" x14ac:dyDescent="0.5">
      <c r="C119" s="3">
        <v>1991</v>
      </c>
      <c r="D119" s="4">
        <v>42</v>
      </c>
      <c r="E119" s="4">
        <v>50</v>
      </c>
      <c r="F119" s="4">
        <v>35</v>
      </c>
      <c r="G119" s="4">
        <v>51</v>
      </c>
      <c r="H119" s="4">
        <v>39</v>
      </c>
      <c r="I119" s="4">
        <v>54</v>
      </c>
      <c r="J119" s="4">
        <v>51</v>
      </c>
      <c r="K119" s="4">
        <v>42</v>
      </c>
      <c r="L119" s="4">
        <v>48</v>
      </c>
      <c r="M119" s="4">
        <v>31</v>
      </c>
      <c r="N119" s="4">
        <v>31</v>
      </c>
      <c r="O119" s="4">
        <v>33</v>
      </c>
      <c r="P119" s="4">
        <v>44</v>
      </c>
      <c r="Q119" s="4">
        <v>43</v>
      </c>
      <c r="R119" s="4">
        <v>42</v>
      </c>
      <c r="S119" s="4">
        <v>49</v>
      </c>
      <c r="T119" s="4">
        <v>42</v>
      </c>
      <c r="U119" s="4">
        <v>37</v>
      </c>
      <c r="V119" s="4">
        <v>764</v>
      </c>
      <c r="Y119" s="3">
        <v>1991</v>
      </c>
      <c r="Z119" s="4">
        <v>42</v>
      </c>
      <c r="AA119" s="4">
        <v>28</v>
      </c>
      <c r="AB119" s="4">
        <v>46</v>
      </c>
      <c r="AC119" s="4">
        <v>39</v>
      </c>
      <c r="AD119" s="4">
        <v>44</v>
      </c>
      <c r="AE119" s="4">
        <v>59</v>
      </c>
      <c r="AF119" s="4">
        <v>33</v>
      </c>
      <c r="AG119" s="4">
        <v>74</v>
      </c>
      <c r="AH119" s="4">
        <v>34</v>
      </c>
      <c r="AI119" s="4">
        <v>43</v>
      </c>
      <c r="AJ119" s="4">
        <v>99</v>
      </c>
      <c r="AK119" s="4">
        <v>34</v>
      </c>
      <c r="AL119" s="4">
        <v>41</v>
      </c>
      <c r="AM119" s="4">
        <v>44</v>
      </c>
      <c r="AN119" s="4">
        <v>660</v>
      </c>
    </row>
    <row r="120" spans="3:40" x14ac:dyDescent="0.5">
      <c r="C120" s="3">
        <v>1992</v>
      </c>
      <c r="D120" s="4">
        <v>45</v>
      </c>
      <c r="E120" s="4">
        <v>42</v>
      </c>
      <c r="F120" s="4">
        <v>47</v>
      </c>
      <c r="G120" s="4">
        <v>23</v>
      </c>
      <c r="H120" s="4">
        <v>32</v>
      </c>
      <c r="I120" s="4">
        <v>24</v>
      </c>
      <c r="J120" s="4">
        <v>13</v>
      </c>
      <c r="K120" s="4">
        <v>10</v>
      </c>
      <c r="L120" s="4">
        <v>-1</v>
      </c>
      <c r="M120" s="4">
        <v>10</v>
      </c>
      <c r="N120" s="4">
        <v>4</v>
      </c>
      <c r="O120" s="4">
        <v>22</v>
      </c>
      <c r="P120" s="4">
        <v>40</v>
      </c>
      <c r="Q120" s="4">
        <v>24</v>
      </c>
      <c r="R120" s="4">
        <v>23</v>
      </c>
      <c r="S120" s="4">
        <v>16</v>
      </c>
      <c r="T120" s="4">
        <v>34</v>
      </c>
      <c r="U120" s="4">
        <v>5</v>
      </c>
      <c r="V120" s="4">
        <v>413</v>
      </c>
      <c r="Y120" s="3">
        <v>1992</v>
      </c>
      <c r="Z120" s="4">
        <v>23</v>
      </c>
      <c r="AA120" s="4">
        <v>-2</v>
      </c>
      <c r="AB120" s="4">
        <v>7</v>
      </c>
      <c r="AC120" s="4">
        <v>30</v>
      </c>
      <c r="AD120" s="4">
        <v>41</v>
      </c>
      <c r="AE120" s="4">
        <v>37</v>
      </c>
      <c r="AF120" s="4">
        <v>21</v>
      </c>
      <c r="AG120" s="4">
        <v>-19</v>
      </c>
      <c r="AH120" s="4">
        <v>33</v>
      </c>
      <c r="AI120" s="4">
        <v>28</v>
      </c>
      <c r="AJ120" s="4">
        <v>42</v>
      </c>
      <c r="AK120" s="4">
        <v>20</v>
      </c>
      <c r="AL120" s="4">
        <v>12</v>
      </c>
      <c r="AM120" s="4">
        <v>33</v>
      </c>
      <c r="AN120" s="4">
        <v>306</v>
      </c>
    </row>
    <row r="121" spans="3:40" x14ac:dyDescent="0.5">
      <c r="C121" s="3">
        <v>1993</v>
      </c>
      <c r="D121" s="4">
        <v>37</v>
      </c>
      <c r="E121" s="4">
        <v>39</v>
      </c>
      <c r="F121" s="4">
        <v>36</v>
      </c>
      <c r="G121" s="4">
        <v>27</v>
      </c>
      <c r="H121" s="4">
        <v>27</v>
      </c>
      <c r="I121" s="4">
        <v>23</v>
      </c>
      <c r="J121" s="4">
        <v>27</v>
      </c>
      <c r="K121" s="4">
        <v>14</v>
      </c>
      <c r="L121" s="4">
        <v>11</v>
      </c>
      <c r="M121" s="4">
        <v>23</v>
      </c>
      <c r="N121" s="4">
        <v>7</v>
      </c>
      <c r="O121" s="4">
        <v>19</v>
      </c>
      <c r="P121" s="4">
        <v>33</v>
      </c>
      <c r="Q121" s="4">
        <v>24</v>
      </c>
      <c r="R121" s="4">
        <v>24</v>
      </c>
      <c r="S121" s="4">
        <v>21</v>
      </c>
      <c r="T121" s="4">
        <v>30</v>
      </c>
      <c r="U121" s="4">
        <v>14</v>
      </c>
      <c r="V121" s="4">
        <v>436</v>
      </c>
      <c r="Y121" s="3">
        <v>1993</v>
      </c>
      <c r="Z121" s="4">
        <v>24</v>
      </c>
      <c r="AA121" s="4">
        <v>-8</v>
      </c>
      <c r="AB121" s="4">
        <v>13</v>
      </c>
      <c r="AC121" s="4">
        <v>34</v>
      </c>
      <c r="AD121" s="4">
        <v>38</v>
      </c>
      <c r="AE121" s="4">
        <v>23</v>
      </c>
      <c r="AF121" s="4">
        <v>26</v>
      </c>
      <c r="AG121" s="4">
        <v>63</v>
      </c>
      <c r="AH121" s="4">
        <v>35</v>
      </c>
      <c r="AI121" s="4">
        <v>23</v>
      </c>
      <c r="AJ121" s="4">
        <v>-13</v>
      </c>
      <c r="AK121" s="4">
        <v>29</v>
      </c>
      <c r="AL121" s="4">
        <v>20</v>
      </c>
      <c r="AM121" s="4">
        <v>29</v>
      </c>
      <c r="AN121" s="4">
        <v>336</v>
      </c>
    </row>
    <row r="122" spans="3:40" x14ac:dyDescent="0.5">
      <c r="C122" s="3">
        <v>1994</v>
      </c>
      <c r="D122" s="4">
        <v>31</v>
      </c>
      <c r="E122" s="4">
        <v>3</v>
      </c>
      <c r="F122" s="4">
        <v>26</v>
      </c>
      <c r="G122" s="4">
        <v>40</v>
      </c>
      <c r="H122" s="4">
        <v>29</v>
      </c>
      <c r="I122" s="4">
        <v>41</v>
      </c>
      <c r="J122" s="4">
        <v>31</v>
      </c>
      <c r="K122" s="4">
        <v>22</v>
      </c>
      <c r="L122" s="4">
        <v>34</v>
      </c>
      <c r="M122" s="4">
        <v>42</v>
      </c>
      <c r="N122" s="4">
        <v>46</v>
      </c>
      <c r="O122" s="4">
        <v>36</v>
      </c>
      <c r="P122" s="4">
        <v>18</v>
      </c>
      <c r="Q122" s="4">
        <v>30</v>
      </c>
      <c r="R122" s="4">
        <v>32</v>
      </c>
      <c r="S122" s="4">
        <v>32</v>
      </c>
      <c r="T122" s="4">
        <v>32</v>
      </c>
      <c r="U122" s="4">
        <v>41</v>
      </c>
      <c r="V122" s="4">
        <v>566</v>
      </c>
      <c r="Y122" s="3">
        <v>1994</v>
      </c>
      <c r="Z122" s="4">
        <v>32</v>
      </c>
      <c r="AA122" s="4">
        <v>43</v>
      </c>
      <c r="AB122" s="4">
        <v>43</v>
      </c>
      <c r="AC122" s="4">
        <v>32</v>
      </c>
      <c r="AD122" s="4">
        <v>37</v>
      </c>
      <c r="AE122" s="4">
        <v>46</v>
      </c>
      <c r="AF122" s="4">
        <v>27</v>
      </c>
      <c r="AG122" s="4">
        <v>36</v>
      </c>
      <c r="AH122" s="4">
        <v>25</v>
      </c>
      <c r="AI122" s="4">
        <v>21</v>
      </c>
      <c r="AJ122" s="4">
        <v>-11</v>
      </c>
      <c r="AK122" s="4">
        <v>27</v>
      </c>
      <c r="AL122" s="4">
        <v>36</v>
      </c>
      <c r="AM122" s="4">
        <v>27</v>
      </c>
      <c r="AN122" s="4">
        <v>421</v>
      </c>
    </row>
    <row r="123" spans="3:40" x14ac:dyDescent="0.5">
      <c r="C123" s="3">
        <v>1995</v>
      </c>
      <c r="D123" s="4">
        <v>51</v>
      </c>
      <c r="E123" s="4">
        <v>78</v>
      </c>
      <c r="F123" s="4">
        <v>45</v>
      </c>
      <c r="G123" s="4">
        <v>47</v>
      </c>
      <c r="H123" s="4">
        <v>29</v>
      </c>
      <c r="I123" s="4">
        <v>44</v>
      </c>
      <c r="J123" s="4">
        <v>49</v>
      </c>
      <c r="K123" s="4">
        <v>49</v>
      </c>
      <c r="L123" s="4">
        <v>34</v>
      </c>
      <c r="M123" s="4">
        <v>49</v>
      </c>
      <c r="N123" s="4">
        <v>44</v>
      </c>
      <c r="O123" s="4">
        <v>30</v>
      </c>
      <c r="P123" s="4">
        <v>55</v>
      </c>
      <c r="Q123" s="4">
        <v>46</v>
      </c>
      <c r="R123" s="4">
        <v>46</v>
      </c>
      <c r="S123" s="4">
        <v>47</v>
      </c>
      <c r="T123" s="4">
        <v>40</v>
      </c>
      <c r="U123" s="4">
        <v>43</v>
      </c>
      <c r="V123" s="4">
        <v>826</v>
      </c>
      <c r="Y123" s="3">
        <v>1995</v>
      </c>
      <c r="Z123" s="4">
        <v>46</v>
      </c>
      <c r="AA123" s="4">
        <v>33</v>
      </c>
      <c r="AB123" s="4">
        <v>70</v>
      </c>
      <c r="AC123" s="4">
        <v>44</v>
      </c>
      <c r="AD123" s="4">
        <v>49</v>
      </c>
      <c r="AE123" s="4">
        <v>95</v>
      </c>
      <c r="AF123" s="4">
        <v>32</v>
      </c>
      <c r="AG123" s="4">
        <v>140</v>
      </c>
      <c r="AH123" s="4">
        <v>16</v>
      </c>
      <c r="AI123" s="4">
        <v>23</v>
      </c>
      <c r="AJ123" s="4">
        <v>8</v>
      </c>
      <c r="AK123" s="4">
        <v>40</v>
      </c>
      <c r="AL123" s="4">
        <v>58</v>
      </c>
      <c r="AM123" s="4">
        <v>34</v>
      </c>
      <c r="AN123" s="4">
        <v>688</v>
      </c>
    </row>
    <row r="124" spans="3:40" x14ac:dyDescent="0.5">
      <c r="C124" s="3">
        <v>1996</v>
      </c>
      <c r="D124" s="4">
        <v>27</v>
      </c>
      <c r="E124" s="4">
        <v>49</v>
      </c>
      <c r="F124" s="4">
        <v>34</v>
      </c>
      <c r="G124" s="4">
        <v>36</v>
      </c>
      <c r="H124" s="4">
        <v>29</v>
      </c>
      <c r="I124" s="4">
        <v>26</v>
      </c>
      <c r="J124" s="4">
        <v>35</v>
      </c>
      <c r="K124" s="4">
        <v>50</v>
      </c>
      <c r="L124" s="4">
        <v>26</v>
      </c>
      <c r="M124" s="4">
        <v>21</v>
      </c>
      <c r="N124" s="4">
        <v>41</v>
      </c>
      <c r="O124" s="4">
        <v>40</v>
      </c>
      <c r="P124" s="4">
        <v>35</v>
      </c>
      <c r="Q124" s="4">
        <v>34</v>
      </c>
      <c r="R124" s="4">
        <v>35</v>
      </c>
      <c r="S124" s="4">
        <v>37</v>
      </c>
      <c r="T124" s="4">
        <v>33</v>
      </c>
      <c r="U124" s="4">
        <v>29</v>
      </c>
      <c r="V124" s="4">
        <v>617</v>
      </c>
      <c r="Y124" s="3">
        <v>1996</v>
      </c>
      <c r="Z124" s="4">
        <v>35</v>
      </c>
      <c r="AA124" s="4">
        <v>13</v>
      </c>
      <c r="AB124" s="4">
        <v>26</v>
      </c>
      <c r="AC124" s="4">
        <v>34</v>
      </c>
      <c r="AD124" s="4">
        <v>37</v>
      </c>
      <c r="AE124" s="4">
        <v>19</v>
      </c>
      <c r="AF124" s="4">
        <v>35</v>
      </c>
      <c r="AG124" s="4">
        <v>79</v>
      </c>
      <c r="AH124" s="4">
        <v>31</v>
      </c>
      <c r="AI124" s="4">
        <v>45</v>
      </c>
      <c r="AJ124" s="4">
        <v>111</v>
      </c>
      <c r="AK124" s="4">
        <v>31</v>
      </c>
      <c r="AL124" s="4">
        <v>28</v>
      </c>
      <c r="AM124" s="4">
        <v>42</v>
      </c>
      <c r="AN124" s="4">
        <v>566</v>
      </c>
    </row>
    <row r="125" spans="3:40" x14ac:dyDescent="0.5">
      <c r="C125" s="3">
        <v>1997</v>
      </c>
      <c r="D125" s="4">
        <v>33</v>
      </c>
      <c r="E125" s="4">
        <v>37</v>
      </c>
      <c r="F125" s="4">
        <v>51</v>
      </c>
      <c r="G125" s="4">
        <v>37</v>
      </c>
      <c r="H125" s="4">
        <v>38</v>
      </c>
      <c r="I125" s="4">
        <v>54</v>
      </c>
      <c r="J125" s="4">
        <v>37</v>
      </c>
      <c r="K125" s="4">
        <v>42</v>
      </c>
      <c r="L125" s="4">
        <v>55</v>
      </c>
      <c r="M125" s="4">
        <v>65</v>
      </c>
      <c r="N125" s="4">
        <v>65</v>
      </c>
      <c r="O125" s="4">
        <v>59</v>
      </c>
      <c r="P125" s="4">
        <v>37</v>
      </c>
      <c r="Q125" s="4">
        <v>46</v>
      </c>
      <c r="R125" s="4">
        <v>48</v>
      </c>
      <c r="S125" s="4">
        <v>44</v>
      </c>
      <c r="T125" s="4">
        <v>42</v>
      </c>
      <c r="U125" s="4">
        <v>62</v>
      </c>
      <c r="V125" s="4">
        <v>852</v>
      </c>
      <c r="Y125" s="3">
        <v>1997</v>
      </c>
      <c r="Z125" s="4">
        <v>48</v>
      </c>
      <c r="AA125" s="4">
        <v>26</v>
      </c>
      <c r="AB125" s="4">
        <v>54</v>
      </c>
      <c r="AC125" s="4">
        <v>53</v>
      </c>
      <c r="AD125" s="4">
        <v>54</v>
      </c>
      <c r="AE125" s="4">
        <v>87</v>
      </c>
      <c r="AF125" s="4">
        <v>43</v>
      </c>
      <c r="AG125" s="4">
        <v>78</v>
      </c>
      <c r="AH125" s="4">
        <v>38</v>
      </c>
      <c r="AI125" s="4">
        <v>34</v>
      </c>
      <c r="AJ125" s="4">
        <v>-4</v>
      </c>
      <c r="AK125" s="4">
        <v>52</v>
      </c>
      <c r="AL125" s="4">
        <v>53</v>
      </c>
      <c r="AM125" s="4">
        <v>42</v>
      </c>
      <c r="AN125" s="4">
        <v>658</v>
      </c>
    </row>
    <row r="126" spans="3:40" x14ac:dyDescent="0.5">
      <c r="C126" s="3">
        <v>1998</v>
      </c>
      <c r="D126" s="4">
        <v>61</v>
      </c>
      <c r="E126" s="4">
        <v>89</v>
      </c>
      <c r="F126" s="4">
        <v>62</v>
      </c>
      <c r="G126" s="4">
        <v>64</v>
      </c>
      <c r="H126" s="4">
        <v>71</v>
      </c>
      <c r="I126" s="4">
        <v>77</v>
      </c>
      <c r="J126" s="4">
        <v>70</v>
      </c>
      <c r="K126" s="4">
        <v>69</v>
      </c>
      <c r="L126" s="4">
        <v>46</v>
      </c>
      <c r="M126" s="4">
        <v>46</v>
      </c>
      <c r="N126" s="4">
        <v>49</v>
      </c>
      <c r="O126" s="4">
        <v>58</v>
      </c>
      <c r="P126" s="4">
        <v>70</v>
      </c>
      <c r="Q126" s="4">
        <v>64</v>
      </c>
      <c r="R126" s="4">
        <v>63</v>
      </c>
      <c r="S126" s="4">
        <v>72</v>
      </c>
      <c r="T126" s="4">
        <v>65</v>
      </c>
      <c r="U126" s="4">
        <v>47</v>
      </c>
      <c r="V126" s="4">
        <v>1143</v>
      </c>
      <c r="Y126" s="3">
        <v>1998</v>
      </c>
      <c r="Z126" s="4">
        <v>63</v>
      </c>
      <c r="AA126" s="4">
        <v>68</v>
      </c>
      <c r="AB126" s="4">
        <v>79</v>
      </c>
      <c r="AC126" s="4">
        <v>72</v>
      </c>
      <c r="AD126" s="4">
        <v>81</v>
      </c>
      <c r="AE126" s="4">
        <v>92</v>
      </c>
      <c r="AF126" s="4">
        <v>43</v>
      </c>
      <c r="AG126" s="4">
        <v>91</v>
      </c>
      <c r="AH126" s="4">
        <v>32</v>
      </c>
      <c r="AI126" s="4">
        <v>36</v>
      </c>
      <c r="AJ126" s="4">
        <v>21</v>
      </c>
      <c r="AK126" s="4">
        <v>63</v>
      </c>
      <c r="AL126" s="4">
        <v>73</v>
      </c>
      <c r="AM126" s="4">
        <v>54</v>
      </c>
      <c r="AN126" s="4">
        <v>868</v>
      </c>
    </row>
    <row r="127" spans="3:40" x14ac:dyDescent="0.5">
      <c r="C127" s="3">
        <v>1999</v>
      </c>
      <c r="D127" s="4">
        <v>48</v>
      </c>
      <c r="E127" s="4">
        <v>67</v>
      </c>
      <c r="F127" s="4">
        <v>33</v>
      </c>
      <c r="G127" s="4">
        <v>34</v>
      </c>
      <c r="H127" s="4">
        <v>33</v>
      </c>
      <c r="I127" s="4">
        <v>37</v>
      </c>
      <c r="J127" s="4">
        <v>41</v>
      </c>
      <c r="K127" s="4">
        <v>35</v>
      </c>
      <c r="L127" s="4">
        <v>43</v>
      </c>
      <c r="M127" s="4">
        <v>42</v>
      </c>
      <c r="N127" s="4">
        <v>41</v>
      </c>
      <c r="O127" s="4">
        <v>48</v>
      </c>
      <c r="P127" s="4">
        <v>58</v>
      </c>
      <c r="Q127" s="4">
        <v>43</v>
      </c>
      <c r="R127" s="4">
        <v>42</v>
      </c>
      <c r="S127" s="4">
        <v>38</v>
      </c>
      <c r="T127" s="4">
        <v>33</v>
      </c>
      <c r="U127" s="4">
        <v>42</v>
      </c>
      <c r="V127" s="4">
        <v>758</v>
      </c>
      <c r="Y127" s="3">
        <v>1999</v>
      </c>
      <c r="Z127" s="4">
        <v>42</v>
      </c>
      <c r="AA127" s="4">
        <v>77</v>
      </c>
      <c r="AB127" s="4">
        <v>73</v>
      </c>
      <c r="AC127" s="4">
        <v>26</v>
      </c>
      <c r="AD127" s="4">
        <v>32</v>
      </c>
      <c r="AE127" s="4">
        <v>82</v>
      </c>
      <c r="AF127" s="4">
        <v>50</v>
      </c>
      <c r="AG127" s="4">
        <v>47</v>
      </c>
      <c r="AH127" s="4">
        <v>16</v>
      </c>
      <c r="AI127" s="4">
        <v>32</v>
      </c>
      <c r="AJ127" s="4">
        <v>3</v>
      </c>
      <c r="AK127" s="4">
        <v>19</v>
      </c>
      <c r="AL127" s="4">
        <v>52</v>
      </c>
      <c r="AM127" s="4">
        <v>32</v>
      </c>
      <c r="AN127" s="4">
        <v>583</v>
      </c>
    </row>
    <row r="128" spans="3:40" x14ac:dyDescent="0.5">
      <c r="C128" s="3">
        <v>2000</v>
      </c>
      <c r="D128" s="4">
        <v>26</v>
      </c>
      <c r="E128" s="4">
        <v>59</v>
      </c>
      <c r="F128" s="4">
        <v>59</v>
      </c>
      <c r="G128" s="4">
        <v>59</v>
      </c>
      <c r="H128" s="4">
        <v>40</v>
      </c>
      <c r="I128" s="4">
        <v>43</v>
      </c>
      <c r="J128" s="4">
        <v>42</v>
      </c>
      <c r="K128" s="4">
        <v>43</v>
      </c>
      <c r="L128" s="4">
        <v>43</v>
      </c>
      <c r="M128" s="4">
        <v>29</v>
      </c>
      <c r="N128" s="4">
        <v>33</v>
      </c>
      <c r="O128" s="4">
        <v>30</v>
      </c>
      <c r="P128" s="4">
        <v>44</v>
      </c>
      <c r="Q128" s="4">
        <v>44</v>
      </c>
      <c r="R128" s="4">
        <v>42</v>
      </c>
      <c r="S128" s="4">
        <v>43</v>
      </c>
      <c r="T128" s="4">
        <v>53</v>
      </c>
      <c r="U128" s="4">
        <v>35</v>
      </c>
      <c r="V128" s="4">
        <v>767</v>
      </c>
      <c r="Y128" s="3">
        <v>2000</v>
      </c>
      <c r="Z128" s="4">
        <v>42</v>
      </c>
      <c r="AA128" s="4">
        <v>56</v>
      </c>
      <c r="AB128" s="4">
        <v>71</v>
      </c>
      <c r="AC128" s="4">
        <v>28</v>
      </c>
      <c r="AD128" s="4">
        <v>33</v>
      </c>
      <c r="AE128" s="4">
        <v>75</v>
      </c>
      <c r="AF128" s="4">
        <v>47</v>
      </c>
      <c r="AG128" s="4">
        <v>110</v>
      </c>
      <c r="AH128" s="4">
        <v>10</v>
      </c>
      <c r="AI128" s="4">
        <v>33</v>
      </c>
      <c r="AJ128" s="4">
        <v>34</v>
      </c>
      <c r="AK128" s="4">
        <v>22</v>
      </c>
      <c r="AL128" s="4">
        <v>51</v>
      </c>
      <c r="AM128" s="4">
        <v>33</v>
      </c>
      <c r="AN128" s="4">
        <v>645</v>
      </c>
    </row>
    <row r="129" spans="3:40" x14ac:dyDescent="0.5">
      <c r="C129" s="3">
        <v>2001</v>
      </c>
      <c r="D129" s="4">
        <v>45</v>
      </c>
      <c r="E129" s="4">
        <v>47</v>
      </c>
      <c r="F129" s="4">
        <v>58</v>
      </c>
      <c r="G129" s="4">
        <v>52</v>
      </c>
      <c r="H129" s="4">
        <v>59</v>
      </c>
      <c r="I129" s="4">
        <v>54</v>
      </c>
      <c r="J129" s="4">
        <v>60</v>
      </c>
      <c r="K129" s="4">
        <v>50</v>
      </c>
      <c r="L129" s="4">
        <v>56</v>
      </c>
      <c r="M129" s="4">
        <v>52</v>
      </c>
      <c r="N129" s="4">
        <v>71</v>
      </c>
      <c r="O129" s="4">
        <v>55</v>
      </c>
      <c r="P129" s="4">
        <v>41</v>
      </c>
      <c r="Q129" s="4">
        <v>53</v>
      </c>
      <c r="R129" s="4">
        <v>55</v>
      </c>
      <c r="S129" s="4">
        <v>55</v>
      </c>
      <c r="T129" s="4">
        <v>57</v>
      </c>
      <c r="U129" s="4">
        <v>59</v>
      </c>
      <c r="V129" s="4">
        <v>979</v>
      </c>
      <c r="Y129" s="3">
        <v>2001</v>
      </c>
      <c r="Z129" s="4">
        <v>55</v>
      </c>
      <c r="AA129" s="4">
        <v>71</v>
      </c>
      <c r="AB129" s="4">
        <v>80</v>
      </c>
      <c r="AC129" s="4">
        <v>45</v>
      </c>
      <c r="AD129" s="4">
        <v>48</v>
      </c>
      <c r="AE129" s="4">
        <v>81</v>
      </c>
      <c r="AF129" s="4">
        <v>58</v>
      </c>
      <c r="AG129" s="4">
        <v>104</v>
      </c>
      <c r="AH129" s="4">
        <v>20</v>
      </c>
      <c r="AI129" s="4">
        <v>44</v>
      </c>
      <c r="AJ129" s="4">
        <v>49</v>
      </c>
      <c r="AK129" s="4">
        <v>41</v>
      </c>
      <c r="AL129" s="4">
        <v>64</v>
      </c>
      <c r="AM129" s="4">
        <v>46</v>
      </c>
      <c r="AN129" s="4">
        <v>806</v>
      </c>
    </row>
    <row r="130" spans="3:40" x14ac:dyDescent="0.5">
      <c r="C130" s="3">
        <v>2002</v>
      </c>
      <c r="D130" s="4">
        <v>74</v>
      </c>
      <c r="E130" s="4">
        <v>76</v>
      </c>
      <c r="F130" s="4">
        <v>91</v>
      </c>
      <c r="G130" s="4">
        <v>59</v>
      </c>
      <c r="H130" s="4">
        <v>65</v>
      </c>
      <c r="I130" s="4">
        <v>55</v>
      </c>
      <c r="J130" s="4">
        <v>61</v>
      </c>
      <c r="K130" s="4">
        <v>55</v>
      </c>
      <c r="L130" s="4">
        <v>64</v>
      </c>
      <c r="M130" s="4">
        <v>57</v>
      </c>
      <c r="N130" s="4">
        <v>59</v>
      </c>
      <c r="O130" s="4">
        <v>42</v>
      </c>
      <c r="P130" s="4">
        <v>68</v>
      </c>
      <c r="Q130" s="4">
        <v>64</v>
      </c>
      <c r="R130" s="4">
        <v>63</v>
      </c>
      <c r="S130" s="4">
        <v>57</v>
      </c>
      <c r="T130" s="4">
        <v>71</v>
      </c>
      <c r="U130" s="4">
        <v>60</v>
      </c>
      <c r="V130" s="4">
        <v>1141</v>
      </c>
      <c r="Y130" s="3">
        <v>2002</v>
      </c>
      <c r="Z130" s="4">
        <v>63</v>
      </c>
      <c r="AA130" s="4">
        <v>58</v>
      </c>
      <c r="AB130" s="4">
        <v>81</v>
      </c>
      <c r="AC130" s="4">
        <v>61</v>
      </c>
      <c r="AD130" s="4">
        <v>67</v>
      </c>
      <c r="AE130" s="4">
        <v>96</v>
      </c>
      <c r="AF130" s="4">
        <v>49</v>
      </c>
      <c r="AG130" s="4">
        <v>126</v>
      </c>
      <c r="AH130" s="4">
        <v>29</v>
      </c>
      <c r="AI130" s="4">
        <v>48</v>
      </c>
      <c r="AJ130" s="4">
        <v>87</v>
      </c>
      <c r="AK130" s="4">
        <v>55</v>
      </c>
      <c r="AL130" s="4">
        <v>71</v>
      </c>
      <c r="AM130" s="4">
        <v>56</v>
      </c>
      <c r="AN130" s="4">
        <v>947</v>
      </c>
    </row>
    <row r="131" spans="3:40" x14ac:dyDescent="0.5">
      <c r="C131" s="3">
        <v>2003</v>
      </c>
      <c r="D131" s="4">
        <v>72</v>
      </c>
      <c r="E131" s="4">
        <v>55</v>
      </c>
      <c r="F131" s="4">
        <v>57</v>
      </c>
      <c r="G131" s="4">
        <v>55</v>
      </c>
      <c r="H131" s="4">
        <v>63</v>
      </c>
      <c r="I131" s="4">
        <v>48</v>
      </c>
      <c r="J131" s="4">
        <v>55</v>
      </c>
      <c r="K131" s="4">
        <v>66</v>
      </c>
      <c r="L131" s="4">
        <v>67</v>
      </c>
      <c r="M131" s="4">
        <v>75</v>
      </c>
      <c r="N131" s="4">
        <v>55</v>
      </c>
      <c r="O131" s="4">
        <v>74</v>
      </c>
      <c r="P131" s="4">
        <v>57</v>
      </c>
      <c r="Q131" s="4">
        <v>59</v>
      </c>
      <c r="R131" s="4">
        <v>62</v>
      </c>
      <c r="S131" s="4">
        <v>57</v>
      </c>
      <c r="T131" s="4">
        <v>58</v>
      </c>
      <c r="U131" s="4">
        <v>66</v>
      </c>
      <c r="V131" s="4">
        <v>1101</v>
      </c>
      <c r="Y131" s="3">
        <v>2003</v>
      </c>
      <c r="Z131" s="4">
        <v>62</v>
      </c>
      <c r="AA131" s="4">
        <v>52</v>
      </c>
      <c r="AB131" s="4">
        <v>80</v>
      </c>
      <c r="AC131" s="4">
        <v>64</v>
      </c>
      <c r="AD131" s="4">
        <v>68</v>
      </c>
      <c r="AE131" s="4">
        <v>94</v>
      </c>
      <c r="AF131" s="4">
        <v>47</v>
      </c>
      <c r="AG131" s="4">
        <v>143</v>
      </c>
      <c r="AH131" s="4">
        <v>23</v>
      </c>
      <c r="AI131" s="4">
        <v>41</v>
      </c>
      <c r="AJ131" s="4">
        <v>59</v>
      </c>
      <c r="AK131" s="4">
        <v>59</v>
      </c>
      <c r="AL131" s="4">
        <v>72</v>
      </c>
      <c r="AM131" s="4">
        <v>52</v>
      </c>
      <c r="AN131" s="4">
        <v>916</v>
      </c>
    </row>
    <row r="132" spans="3:40" x14ac:dyDescent="0.5">
      <c r="C132" s="3">
        <v>2004</v>
      </c>
      <c r="D132" s="4">
        <v>58</v>
      </c>
      <c r="E132" s="4">
        <v>70</v>
      </c>
      <c r="F132" s="4">
        <v>66</v>
      </c>
      <c r="G132" s="4">
        <v>62</v>
      </c>
      <c r="H132" s="4">
        <v>42</v>
      </c>
      <c r="I132" s="4">
        <v>42</v>
      </c>
      <c r="J132" s="4">
        <v>27</v>
      </c>
      <c r="K132" s="4">
        <v>45</v>
      </c>
      <c r="L132" s="4">
        <v>53</v>
      </c>
      <c r="M132" s="4">
        <v>67</v>
      </c>
      <c r="N132" s="4">
        <v>72</v>
      </c>
      <c r="O132" s="4">
        <v>52</v>
      </c>
      <c r="P132" s="4">
        <v>67</v>
      </c>
      <c r="Q132" s="4">
        <v>57</v>
      </c>
      <c r="R132" s="4">
        <v>55</v>
      </c>
      <c r="S132" s="4">
        <v>38</v>
      </c>
      <c r="T132" s="4">
        <v>57</v>
      </c>
      <c r="U132" s="4">
        <v>64</v>
      </c>
      <c r="V132" s="4">
        <v>994</v>
      </c>
      <c r="Y132" s="3">
        <v>2004</v>
      </c>
      <c r="Z132" s="4">
        <v>55</v>
      </c>
      <c r="AA132" s="4">
        <v>68</v>
      </c>
      <c r="AB132" s="4">
        <v>75</v>
      </c>
      <c r="AC132" s="4">
        <v>57</v>
      </c>
      <c r="AD132" s="4">
        <v>58</v>
      </c>
      <c r="AE132" s="4">
        <v>92</v>
      </c>
      <c r="AF132" s="4">
        <v>50</v>
      </c>
      <c r="AG132" s="4">
        <v>64</v>
      </c>
      <c r="AH132" s="4">
        <v>21</v>
      </c>
      <c r="AI132" s="4">
        <v>32</v>
      </c>
      <c r="AJ132" s="4">
        <v>-6</v>
      </c>
      <c r="AK132" s="4">
        <v>56</v>
      </c>
      <c r="AL132" s="4">
        <v>67</v>
      </c>
      <c r="AM132" s="4">
        <v>42</v>
      </c>
      <c r="AN132" s="4">
        <v>731</v>
      </c>
    </row>
    <row r="133" spans="3:40" x14ac:dyDescent="0.5">
      <c r="C133" s="3">
        <v>2005</v>
      </c>
      <c r="D133" s="4">
        <v>72</v>
      </c>
      <c r="E133" s="4">
        <v>59</v>
      </c>
      <c r="F133" s="4">
        <v>69</v>
      </c>
      <c r="G133" s="4">
        <v>70</v>
      </c>
      <c r="H133" s="4">
        <v>64</v>
      </c>
      <c r="I133" s="4">
        <v>66</v>
      </c>
      <c r="J133" s="4">
        <v>66</v>
      </c>
      <c r="K133" s="4">
        <v>63</v>
      </c>
      <c r="L133" s="4">
        <v>77</v>
      </c>
      <c r="M133" s="4">
        <v>80</v>
      </c>
      <c r="N133" s="4">
        <v>75</v>
      </c>
      <c r="O133" s="4">
        <v>68</v>
      </c>
      <c r="P133" s="4">
        <v>61</v>
      </c>
      <c r="Q133" s="4">
        <v>68</v>
      </c>
      <c r="R133" s="4">
        <v>69</v>
      </c>
      <c r="S133" s="4">
        <v>65</v>
      </c>
      <c r="T133" s="4">
        <v>68</v>
      </c>
      <c r="U133" s="4">
        <v>77</v>
      </c>
      <c r="V133" s="4">
        <v>1237</v>
      </c>
      <c r="Y133" s="3">
        <v>2005</v>
      </c>
      <c r="Z133" s="4">
        <v>69</v>
      </c>
      <c r="AA133" s="4">
        <v>56</v>
      </c>
      <c r="AB133" s="4">
        <v>99</v>
      </c>
      <c r="AC133" s="4">
        <v>65</v>
      </c>
      <c r="AD133" s="4">
        <v>69</v>
      </c>
      <c r="AE133" s="4">
        <v>116</v>
      </c>
      <c r="AF133" s="4">
        <v>52</v>
      </c>
      <c r="AG133" s="4">
        <v>200</v>
      </c>
      <c r="AH133" s="4">
        <v>20</v>
      </c>
      <c r="AI133" s="4">
        <v>45</v>
      </c>
      <c r="AJ133" s="4">
        <v>76</v>
      </c>
      <c r="AK133" s="4">
        <v>61</v>
      </c>
      <c r="AL133" s="4">
        <v>84</v>
      </c>
      <c r="AM133" s="4">
        <v>55</v>
      </c>
      <c r="AN133" s="4">
        <v>1067</v>
      </c>
    </row>
    <row r="134" spans="3:40" x14ac:dyDescent="0.5">
      <c r="C134" s="3">
        <v>2006</v>
      </c>
      <c r="D134" s="4">
        <v>57</v>
      </c>
      <c r="E134" s="4">
        <v>71</v>
      </c>
      <c r="F134" s="4">
        <v>64</v>
      </c>
      <c r="G134" s="4">
        <v>49</v>
      </c>
      <c r="H134" s="4">
        <v>47</v>
      </c>
      <c r="I134" s="4">
        <v>64</v>
      </c>
      <c r="J134" s="4">
        <v>55</v>
      </c>
      <c r="K134" s="4">
        <v>71</v>
      </c>
      <c r="L134" s="4">
        <v>64</v>
      </c>
      <c r="M134" s="4">
        <v>70</v>
      </c>
      <c r="N134" s="4">
        <v>73</v>
      </c>
      <c r="O134" s="4">
        <v>78</v>
      </c>
      <c r="P134" s="4">
        <v>65</v>
      </c>
      <c r="Q134" s="4">
        <v>63</v>
      </c>
      <c r="R134" s="4">
        <v>64</v>
      </c>
      <c r="S134" s="4">
        <v>63</v>
      </c>
      <c r="T134" s="4">
        <v>53</v>
      </c>
      <c r="U134" s="4">
        <v>69</v>
      </c>
      <c r="V134" s="4">
        <v>1140</v>
      </c>
      <c r="Y134" s="3">
        <v>2006</v>
      </c>
      <c r="Z134" s="4">
        <v>64</v>
      </c>
      <c r="AA134" s="4">
        <v>67</v>
      </c>
      <c r="AB134" s="4">
        <v>96</v>
      </c>
      <c r="AC134" s="4">
        <v>56</v>
      </c>
      <c r="AD134" s="4">
        <v>58</v>
      </c>
      <c r="AE134" s="4">
        <v>105</v>
      </c>
      <c r="AF134" s="4">
        <v>54</v>
      </c>
      <c r="AG134" s="4">
        <v>173</v>
      </c>
      <c r="AH134" s="4">
        <v>19</v>
      </c>
      <c r="AI134" s="4">
        <v>40</v>
      </c>
      <c r="AJ134" s="4">
        <v>36</v>
      </c>
      <c r="AK134" s="4">
        <v>55</v>
      </c>
      <c r="AL134" s="4">
        <v>80</v>
      </c>
      <c r="AM134" s="4">
        <v>47</v>
      </c>
      <c r="AN134" s="4">
        <v>950</v>
      </c>
    </row>
    <row r="135" spans="3:40" x14ac:dyDescent="0.5">
      <c r="C135" s="3">
        <v>2007</v>
      </c>
      <c r="D135" s="4">
        <v>97</v>
      </c>
      <c r="E135" s="4">
        <v>70</v>
      </c>
      <c r="F135" s="4">
        <v>70</v>
      </c>
      <c r="G135" s="4">
        <v>75</v>
      </c>
      <c r="H135" s="4">
        <v>69</v>
      </c>
      <c r="I135" s="4">
        <v>59</v>
      </c>
      <c r="J135" s="4">
        <v>62</v>
      </c>
      <c r="K135" s="4">
        <v>61</v>
      </c>
      <c r="L135" s="4">
        <v>65</v>
      </c>
      <c r="M135" s="4">
        <v>61</v>
      </c>
      <c r="N135" s="4">
        <v>57</v>
      </c>
      <c r="O135" s="4">
        <v>49</v>
      </c>
      <c r="P135" s="4">
        <v>82</v>
      </c>
      <c r="Q135" s="4">
        <v>69</v>
      </c>
      <c r="R135" s="4">
        <v>66</v>
      </c>
      <c r="S135" s="4">
        <v>61</v>
      </c>
      <c r="T135" s="4">
        <v>71</v>
      </c>
      <c r="U135" s="4">
        <v>61</v>
      </c>
      <c r="V135" s="4">
        <v>1205</v>
      </c>
      <c r="Y135" s="3">
        <v>2007</v>
      </c>
      <c r="Z135" s="4">
        <v>66</v>
      </c>
      <c r="AA135" s="4">
        <v>69</v>
      </c>
      <c r="AB135" s="4">
        <v>110</v>
      </c>
      <c r="AC135" s="4">
        <v>47</v>
      </c>
      <c r="AD135" s="4">
        <v>50</v>
      </c>
      <c r="AE135" s="4">
        <v>129</v>
      </c>
      <c r="AF135" s="4">
        <v>54</v>
      </c>
      <c r="AG135" s="4">
        <v>201</v>
      </c>
      <c r="AH135" s="4">
        <v>6</v>
      </c>
      <c r="AI135" s="4">
        <v>48</v>
      </c>
      <c r="AJ135" s="4">
        <v>117</v>
      </c>
      <c r="AK135" s="4">
        <v>44</v>
      </c>
      <c r="AL135" s="4">
        <v>83</v>
      </c>
      <c r="AM135" s="4">
        <v>49</v>
      </c>
      <c r="AN135" s="4">
        <v>1073</v>
      </c>
    </row>
    <row r="136" spans="3:40" x14ac:dyDescent="0.5">
      <c r="C136" s="3">
        <v>2008</v>
      </c>
      <c r="D136" s="4">
        <v>27</v>
      </c>
      <c r="E136" s="4">
        <v>36</v>
      </c>
      <c r="F136" s="4">
        <v>75</v>
      </c>
      <c r="G136" s="4">
        <v>53</v>
      </c>
      <c r="H136" s="4">
        <v>51</v>
      </c>
      <c r="I136" s="4">
        <v>48</v>
      </c>
      <c r="J136" s="4">
        <v>60</v>
      </c>
      <c r="K136" s="4">
        <v>45</v>
      </c>
      <c r="L136" s="4">
        <v>64</v>
      </c>
      <c r="M136" s="4">
        <v>67</v>
      </c>
      <c r="N136" s="4">
        <v>67</v>
      </c>
      <c r="O136" s="4">
        <v>55</v>
      </c>
      <c r="P136" s="4">
        <v>37</v>
      </c>
      <c r="Q136" s="4">
        <v>53</v>
      </c>
      <c r="R136" s="4">
        <v>54</v>
      </c>
      <c r="S136" s="4">
        <v>51</v>
      </c>
      <c r="T136" s="4">
        <v>60</v>
      </c>
      <c r="U136" s="4">
        <v>66</v>
      </c>
      <c r="V136" s="4">
        <v>969</v>
      </c>
      <c r="Y136" s="3">
        <v>2008</v>
      </c>
      <c r="Z136" s="4">
        <v>54</v>
      </c>
      <c r="AA136" s="4">
        <v>61</v>
      </c>
      <c r="AB136" s="4">
        <v>88</v>
      </c>
      <c r="AC136" s="4">
        <v>39</v>
      </c>
      <c r="AD136" s="4">
        <v>45</v>
      </c>
      <c r="AE136" s="4">
        <v>102</v>
      </c>
      <c r="AF136" s="4">
        <v>56</v>
      </c>
      <c r="AG136" s="4">
        <v>144</v>
      </c>
      <c r="AH136" s="4">
        <v>10</v>
      </c>
      <c r="AI136" s="4">
        <v>40</v>
      </c>
      <c r="AJ136" s="4">
        <v>50</v>
      </c>
      <c r="AK136" s="4">
        <v>33</v>
      </c>
      <c r="AL136" s="4">
        <v>66</v>
      </c>
      <c r="AM136" s="4">
        <v>42</v>
      </c>
      <c r="AN136" s="4">
        <v>830</v>
      </c>
    </row>
    <row r="137" spans="3:40" x14ac:dyDescent="0.5">
      <c r="C137" s="3">
        <v>2009</v>
      </c>
      <c r="D137" s="4">
        <v>62</v>
      </c>
      <c r="E137" s="4">
        <v>54</v>
      </c>
      <c r="F137" s="4">
        <v>53</v>
      </c>
      <c r="G137" s="4">
        <v>61</v>
      </c>
      <c r="H137" s="4">
        <v>64</v>
      </c>
      <c r="I137" s="4">
        <v>67</v>
      </c>
      <c r="J137" s="4">
        <v>73</v>
      </c>
      <c r="K137" s="4">
        <v>68</v>
      </c>
      <c r="L137" s="4">
        <v>69</v>
      </c>
      <c r="M137" s="4">
        <v>65</v>
      </c>
      <c r="N137" s="4">
        <v>78</v>
      </c>
      <c r="O137" s="4">
        <v>65</v>
      </c>
      <c r="P137" s="4">
        <v>57</v>
      </c>
      <c r="Q137" s="4">
        <v>64</v>
      </c>
      <c r="R137" s="4">
        <v>65</v>
      </c>
      <c r="S137" s="4">
        <v>69</v>
      </c>
      <c r="T137" s="4">
        <v>59</v>
      </c>
      <c r="U137" s="4">
        <v>71</v>
      </c>
      <c r="V137" s="4">
        <v>1164</v>
      </c>
      <c r="Y137" s="3">
        <v>2009</v>
      </c>
      <c r="Z137" s="4">
        <v>65</v>
      </c>
      <c r="AA137" s="4">
        <v>67</v>
      </c>
      <c r="AB137" s="4">
        <v>74</v>
      </c>
      <c r="AC137" s="4">
        <v>68</v>
      </c>
      <c r="AD137" s="4">
        <v>71</v>
      </c>
      <c r="AE137" s="4">
        <v>58</v>
      </c>
      <c r="AF137" s="4">
        <v>61</v>
      </c>
      <c r="AG137" s="4">
        <v>127</v>
      </c>
      <c r="AH137" s="4">
        <v>18</v>
      </c>
      <c r="AI137" s="4">
        <v>51</v>
      </c>
      <c r="AJ137" s="4">
        <v>85</v>
      </c>
      <c r="AK137" s="4">
        <v>66</v>
      </c>
      <c r="AL137" s="4">
        <v>71</v>
      </c>
      <c r="AM137" s="4">
        <v>59</v>
      </c>
      <c r="AN137" s="4">
        <v>941</v>
      </c>
    </row>
    <row r="138" spans="3:40" x14ac:dyDescent="0.5">
      <c r="C138" s="3">
        <v>2010</v>
      </c>
      <c r="D138" s="4">
        <v>73</v>
      </c>
      <c r="E138" s="4">
        <v>79</v>
      </c>
      <c r="F138" s="4">
        <v>92</v>
      </c>
      <c r="G138" s="4">
        <v>87</v>
      </c>
      <c r="H138" s="4">
        <v>75</v>
      </c>
      <c r="I138" s="4">
        <v>64</v>
      </c>
      <c r="J138" s="4">
        <v>61</v>
      </c>
      <c r="K138" s="4">
        <v>65</v>
      </c>
      <c r="L138" s="4">
        <v>61</v>
      </c>
      <c r="M138" s="4">
        <v>71</v>
      </c>
      <c r="N138" s="4">
        <v>79</v>
      </c>
      <c r="O138" s="4">
        <v>49</v>
      </c>
      <c r="P138" s="4">
        <v>72</v>
      </c>
      <c r="Q138" s="4">
        <v>73</v>
      </c>
      <c r="R138" s="4">
        <v>71</v>
      </c>
      <c r="S138" s="4">
        <v>63</v>
      </c>
      <c r="T138" s="4">
        <v>85</v>
      </c>
      <c r="U138" s="4">
        <v>71</v>
      </c>
      <c r="V138" s="4">
        <v>1291</v>
      </c>
      <c r="Y138" s="3">
        <v>2010</v>
      </c>
      <c r="Z138" s="4">
        <v>71</v>
      </c>
      <c r="AA138" s="4">
        <v>74</v>
      </c>
      <c r="AB138" s="4">
        <v>98</v>
      </c>
      <c r="AC138" s="4">
        <v>69</v>
      </c>
      <c r="AD138" s="4">
        <v>66</v>
      </c>
      <c r="AE138" s="4">
        <v>86</v>
      </c>
      <c r="AF138" s="4">
        <v>66</v>
      </c>
      <c r="AG138" s="4">
        <v>199</v>
      </c>
      <c r="AH138" s="4">
        <v>23</v>
      </c>
      <c r="AI138" s="4">
        <v>48</v>
      </c>
      <c r="AJ138" s="4">
        <v>38</v>
      </c>
      <c r="AK138" s="4">
        <v>72</v>
      </c>
      <c r="AL138" s="4">
        <v>88</v>
      </c>
      <c r="AM138" s="4">
        <v>55</v>
      </c>
      <c r="AN138" s="4">
        <v>1053</v>
      </c>
    </row>
    <row r="139" spans="3:40" x14ac:dyDescent="0.5">
      <c r="C139" s="3">
        <v>2011</v>
      </c>
      <c r="D139" s="4">
        <v>50</v>
      </c>
      <c r="E139" s="4">
        <v>51</v>
      </c>
      <c r="F139" s="4">
        <v>64</v>
      </c>
      <c r="G139" s="4">
        <v>66</v>
      </c>
      <c r="H139" s="4">
        <v>53</v>
      </c>
      <c r="I139" s="4">
        <v>59</v>
      </c>
      <c r="J139" s="4">
        <v>74</v>
      </c>
      <c r="K139" s="4">
        <v>73</v>
      </c>
      <c r="L139" s="4">
        <v>56</v>
      </c>
      <c r="M139" s="4">
        <v>67</v>
      </c>
      <c r="N139" s="4">
        <v>56</v>
      </c>
      <c r="O139" s="4">
        <v>53</v>
      </c>
      <c r="P139" s="4">
        <v>50</v>
      </c>
      <c r="Q139" s="4">
        <v>60</v>
      </c>
      <c r="R139" s="4">
        <v>60</v>
      </c>
      <c r="S139" s="4">
        <v>69</v>
      </c>
      <c r="T139" s="4">
        <v>61</v>
      </c>
      <c r="U139" s="4">
        <v>60</v>
      </c>
      <c r="V139" s="4">
        <v>1082</v>
      </c>
      <c r="Y139" s="3">
        <v>2011</v>
      </c>
      <c r="Z139" s="4">
        <v>60</v>
      </c>
      <c r="AA139" s="4">
        <v>57</v>
      </c>
      <c r="AB139" s="4">
        <v>93</v>
      </c>
      <c r="AC139" s="4">
        <v>37</v>
      </c>
      <c r="AD139" s="4">
        <v>37</v>
      </c>
      <c r="AE139" s="4">
        <v>90</v>
      </c>
      <c r="AF139" s="4">
        <v>68</v>
      </c>
      <c r="AG139" s="4">
        <v>211</v>
      </c>
      <c r="AH139" s="4">
        <v>26</v>
      </c>
      <c r="AI139" s="4">
        <v>58</v>
      </c>
      <c r="AJ139" s="4">
        <v>93</v>
      </c>
      <c r="AK139" s="4">
        <v>38</v>
      </c>
      <c r="AL139" s="4">
        <v>71</v>
      </c>
      <c r="AM139" s="4">
        <v>50</v>
      </c>
      <c r="AN139" s="4">
        <v>989</v>
      </c>
    </row>
    <row r="140" spans="3:40" x14ac:dyDescent="0.5">
      <c r="C140" s="3">
        <v>2012</v>
      </c>
      <c r="D140" s="4">
        <v>45</v>
      </c>
      <c r="E140" s="4">
        <v>49</v>
      </c>
      <c r="F140" s="4">
        <v>57</v>
      </c>
      <c r="G140" s="4">
        <v>69</v>
      </c>
      <c r="H140" s="4">
        <v>76</v>
      </c>
      <c r="I140" s="4">
        <v>62</v>
      </c>
      <c r="J140" s="4">
        <v>56</v>
      </c>
      <c r="K140" s="4">
        <v>64</v>
      </c>
      <c r="L140" s="4">
        <v>75</v>
      </c>
      <c r="M140" s="4">
        <v>79</v>
      </c>
      <c r="N140" s="4">
        <v>74</v>
      </c>
      <c r="O140" s="4">
        <v>52</v>
      </c>
      <c r="P140" s="4">
        <v>49</v>
      </c>
      <c r="Q140" s="4">
        <v>63</v>
      </c>
      <c r="R140" s="4">
        <v>63</v>
      </c>
      <c r="S140" s="4">
        <v>61</v>
      </c>
      <c r="T140" s="4">
        <v>67</v>
      </c>
      <c r="U140" s="4">
        <v>76</v>
      </c>
      <c r="V140" s="4">
        <v>1137</v>
      </c>
      <c r="Y140" s="3">
        <v>2012</v>
      </c>
      <c r="Z140" s="4">
        <v>63</v>
      </c>
      <c r="AA140" s="4">
        <v>73</v>
      </c>
      <c r="AB140" s="4">
        <v>97</v>
      </c>
      <c r="AC140" s="4">
        <v>51</v>
      </c>
      <c r="AD140" s="4">
        <v>57</v>
      </c>
      <c r="AE140" s="4">
        <v>89</v>
      </c>
      <c r="AF140" s="4">
        <v>60</v>
      </c>
      <c r="AG140" s="4">
        <v>189</v>
      </c>
      <c r="AH140" s="4">
        <v>25</v>
      </c>
      <c r="AI140" s="4">
        <v>44</v>
      </c>
      <c r="AJ140" s="4">
        <v>32</v>
      </c>
      <c r="AK140" s="4">
        <v>46</v>
      </c>
      <c r="AL140" s="4">
        <v>77</v>
      </c>
      <c r="AM140" s="4">
        <v>50</v>
      </c>
      <c r="AN140" s="4">
        <v>953</v>
      </c>
    </row>
    <row r="141" spans="3:40" x14ac:dyDescent="0.5">
      <c r="C141" s="3">
        <v>2013</v>
      </c>
      <c r="D141" s="4">
        <v>67</v>
      </c>
      <c r="E141" s="4">
        <v>57</v>
      </c>
      <c r="F141" s="4">
        <v>65</v>
      </c>
      <c r="G141" s="4">
        <v>54</v>
      </c>
      <c r="H141" s="4">
        <v>61</v>
      </c>
      <c r="I141" s="4">
        <v>65</v>
      </c>
      <c r="J141" s="4">
        <v>59</v>
      </c>
      <c r="K141" s="4">
        <v>66</v>
      </c>
      <c r="L141" s="4">
        <v>77</v>
      </c>
      <c r="M141" s="4">
        <v>70</v>
      </c>
      <c r="N141" s="4">
        <v>81</v>
      </c>
      <c r="O141" s="4">
        <v>67</v>
      </c>
      <c r="P141" s="4">
        <v>58</v>
      </c>
      <c r="Q141" s="4">
        <v>64</v>
      </c>
      <c r="R141" s="4">
        <v>66</v>
      </c>
      <c r="S141" s="4">
        <v>63</v>
      </c>
      <c r="T141" s="4">
        <v>60</v>
      </c>
      <c r="U141" s="4">
        <v>76</v>
      </c>
      <c r="V141" s="4">
        <v>1176</v>
      </c>
      <c r="Y141" s="3">
        <v>2013</v>
      </c>
      <c r="Z141" s="4">
        <v>66</v>
      </c>
      <c r="AA141" s="4">
        <v>68</v>
      </c>
      <c r="AB141" s="4">
        <v>88</v>
      </c>
      <c r="AC141" s="4">
        <v>58</v>
      </c>
      <c r="AD141" s="4">
        <v>58</v>
      </c>
      <c r="AE141" s="4">
        <v>103</v>
      </c>
      <c r="AF141" s="4">
        <v>64</v>
      </c>
      <c r="AG141" s="4">
        <v>123</v>
      </c>
      <c r="AH141" s="4">
        <v>30</v>
      </c>
      <c r="AI141" s="4">
        <v>54</v>
      </c>
      <c r="AJ141" s="4">
        <v>67</v>
      </c>
      <c r="AK141" s="4">
        <v>57</v>
      </c>
      <c r="AL141" s="4">
        <v>76</v>
      </c>
      <c r="AM141" s="4">
        <v>56</v>
      </c>
      <c r="AN141" s="4">
        <v>968</v>
      </c>
    </row>
    <row r="142" spans="3:40" x14ac:dyDescent="0.5">
      <c r="C142" s="3">
        <v>2014</v>
      </c>
      <c r="D142" s="4">
        <v>74</v>
      </c>
      <c r="E142" s="4">
        <v>50</v>
      </c>
      <c r="F142" s="4">
        <v>77</v>
      </c>
      <c r="G142" s="4">
        <v>78</v>
      </c>
      <c r="H142" s="4">
        <v>86</v>
      </c>
      <c r="I142" s="4">
        <v>66</v>
      </c>
      <c r="J142" s="4">
        <v>58</v>
      </c>
      <c r="K142" s="4">
        <v>82</v>
      </c>
      <c r="L142" s="4">
        <v>90</v>
      </c>
      <c r="M142" s="4">
        <v>86</v>
      </c>
      <c r="N142" s="4">
        <v>68</v>
      </c>
      <c r="O142" s="4">
        <v>79</v>
      </c>
      <c r="P142" s="4">
        <v>64</v>
      </c>
      <c r="Q142" s="4">
        <v>74</v>
      </c>
      <c r="R142" s="4">
        <v>75</v>
      </c>
      <c r="S142" s="4">
        <v>69</v>
      </c>
      <c r="T142" s="4">
        <v>81</v>
      </c>
      <c r="U142" s="4">
        <v>81</v>
      </c>
      <c r="V142" s="4">
        <v>1338</v>
      </c>
      <c r="Y142" s="3">
        <v>2014</v>
      </c>
      <c r="Z142" s="4">
        <v>75</v>
      </c>
      <c r="AA142" s="4">
        <v>76</v>
      </c>
      <c r="AB142" s="4">
        <v>106</v>
      </c>
      <c r="AC142" s="4">
        <v>67</v>
      </c>
      <c r="AD142" s="4">
        <v>64</v>
      </c>
      <c r="AE142" s="4">
        <v>113</v>
      </c>
      <c r="AF142" s="4">
        <v>76</v>
      </c>
      <c r="AG142" s="4">
        <v>185</v>
      </c>
      <c r="AH142" s="4">
        <v>23</v>
      </c>
      <c r="AI142" s="4">
        <v>54</v>
      </c>
      <c r="AJ142" s="4">
        <v>47</v>
      </c>
      <c r="AK142" s="4">
        <v>70</v>
      </c>
      <c r="AL142" s="4">
        <v>91</v>
      </c>
      <c r="AM142" s="4">
        <v>58</v>
      </c>
      <c r="AN142" s="4">
        <v>1105</v>
      </c>
    </row>
    <row r="143" spans="3:40" x14ac:dyDescent="0.5">
      <c r="C143" s="3">
        <v>2015</v>
      </c>
      <c r="D143" s="4">
        <v>82</v>
      </c>
      <c r="E143" s="4">
        <v>88</v>
      </c>
      <c r="F143" s="4">
        <v>90</v>
      </c>
      <c r="G143" s="4">
        <v>74</v>
      </c>
      <c r="H143" s="4">
        <v>76</v>
      </c>
      <c r="I143" s="4">
        <v>80</v>
      </c>
      <c r="J143" s="4"/>
      <c r="K143" s="4"/>
      <c r="L143" s="4"/>
      <c r="M143" s="4"/>
      <c r="N143" s="4"/>
      <c r="O143" s="4"/>
      <c r="P143" s="4">
        <v>83</v>
      </c>
      <c r="Q143" s="4"/>
      <c r="R143" s="4"/>
      <c r="S143" s="4"/>
      <c r="T143" s="4">
        <v>80</v>
      </c>
      <c r="U143" s="4"/>
      <c r="V143" s="4">
        <v>653</v>
      </c>
      <c r="Y143" s="3" t="s">
        <v>35</v>
      </c>
      <c r="Z143" s="4">
        <v>220</v>
      </c>
      <c r="AA143" s="4">
        <v>96</v>
      </c>
      <c r="AB143" s="4">
        <v>731</v>
      </c>
      <c r="AC143" s="4">
        <v>260</v>
      </c>
      <c r="AD143" s="4">
        <v>506</v>
      </c>
      <c r="AE143" s="4">
        <v>1237</v>
      </c>
      <c r="AF143" s="4">
        <v>107</v>
      </c>
      <c r="AG143" s="4">
        <v>1218</v>
      </c>
      <c r="AH143" s="4">
        <v>-1025</v>
      </c>
      <c r="AI143" s="4">
        <v>-365</v>
      </c>
      <c r="AJ143" s="4">
        <v>-691</v>
      </c>
      <c r="AK143" s="4">
        <v>11</v>
      </c>
      <c r="AL143" s="4">
        <v>449</v>
      </c>
      <c r="AM143" s="4">
        <v>-10</v>
      </c>
      <c r="AN143" s="4">
        <v>2744</v>
      </c>
    </row>
    <row r="144" spans="3:40" x14ac:dyDescent="0.5">
      <c r="C144" s="3" t="s">
        <v>35</v>
      </c>
      <c r="D144" s="4">
        <v>83</v>
      </c>
      <c r="E144" s="4">
        <v>251</v>
      </c>
      <c r="F144" s="4">
        <v>428</v>
      </c>
      <c r="G144" s="4">
        <v>158</v>
      </c>
      <c r="H144" s="4">
        <v>123</v>
      </c>
      <c r="I144" s="4">
        <v>-78</v>
      </c>
      <c r="J144" s="4">
        <v>310</v>
      </c>
      <c r="K144" s="4">
        <v>316</v>
      </c>
      <c r="L144" s="4">
        <v>510</v>
      </c>
      <c r="M144" s="4">
        <v>610</v>
      </c>
      <c r="N144" s="4">
        <v>374</v>
      </c>
      <c r="O144" s="4">
        <v>-5</v>
      </c>
      <c r="P144" s="4">
        <v>125</v>
      </c>
      <c r="Q144" s="4">
        <v>226</v>
      </c>
      <c r="R144" s="4">
        <v>220</v>
      </c>
      <c r="S144" s="4">
        <v>160</v>
      </c>
      <c r="T144" s="4">
        <v>235</v>
      </c>
      <c r="U144" s="4">
        <v>504</v>
      </c>
      <c r="V144" s="4">
        <v>4550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B720-02AD-45B7-B065-51E3272F575B}">
  <sheetPr codeName="Sheet4">
    <outlinePr summaryBelow="0" summaryRight="0"/>
  </sheetPr>
  <dimension ref="C2:W71"/>
  <sheetViews>
    <sheetView showGridLines="0" showRowColHeaders="0" tabSelected="1" zoomScale="120" zoomScaleNormal="120" workbookViewId="0">
      <selection activeCell="A3" sqref="A3"/>
    </sheetView>
  </sheetViews>
  <sheetFormatPr defaultRowHeight="15.75" outlineLevelRow="1" x14ac:dyDescent="0.5"/>
  <cols>
    <col min="2" max="2" width="3" customWidth="1"/>
    <col min="3" max="3" width="9.625" bestFit="1" customWidth="1"/>
    <col min="4" max="4" width="3" customWidth="1"/>
    <col min="5" max="14" width="6.625" customWidth="1"/>
    <col min="15" max="15" width="2.5625" customWidth="1"/>
    <col min="16" max="17" width="3.1875" bestFit="1" customWidth="1"/>
    <col min="18" max="18" width="2.625" customWidth="1"/>
    <col min="20" max="20" width="14.1875" customWidth="1"/>
  </cols>
  <sheetData>
    <row r="2" spans="3:17" ht="21" x14ac:dyDescent="0.65">
      <c r="E2" s="31" t="s">
        <v>39</v>
      </c>
      <c r="F2" s="31"/>
      <c r="G2" s="31"/>
      <c r="H2" s="31"/>
      <c r="I2" s="31"/>
      <c r="J2" s="31"/>
      <c r="K2" s="31"/>
      <c r="L2" s="31"/>
      <c r="M2" s="31"/>
      <c r="N2" s="31"/>
    </row>
    <row r="3" spans="3:17" s="16" customFormat="1" ht="4.1500000000000004" x14ac:dyDescent="0.15"/>
    <row r="4" spans="3:17" x14ac:dyDescent="0.5">
      <c r="D4" s="15" t="s">
        <v>41</v>
      </c>
    </row>
    <row r="5" spans="3:17" x14ac:dyDescent="0.5">
      <c r="D5" s="15"/>
      <c r="E5" s="6"/>
      <c r="F5" s="7"/>
      <c r="G5" s="7"/>
      <c r="H5" s="7"/>
      <c r="I5" s="7"/>
      <c r="J5" s="7"/>
      <c r="K5" s="7"/>
      <c r="L5" s="7"/>
      <c r="M5" s="7"/>
      <c r="N5" s="8"/>
    </row>
    <row r="6" spans="3:17" x14ac:dyDescent="0.5">
      <c r="D6" s="15"/>
      <c r="E6" s="6"/>
      <c r="F6" s="7"/>
      <c r="G6" s="7"/>
      <c r="H6" s="7"/>
      <c r="I6" s="7"/>
      <c r="J6" s="7"/>
      <c r="K6" s="7"/>
      <c r="L6" s="7"/>
      <c r="M6" s="7"/>
      <c r="N6" s="8"/>
    </row>
    <row r="7" spans="3:17" x14ac:dyDescent="0.5">
      <c r="D7" s="15"/>
      <c r="E7" s="6"/>
      <c r="F7" s="7"/>
      <c r="G7" s="7"/>
      <c r="H7" s="7"/>
      <c r="I7" s="7"/>
      <c r="J7" s="7"/>
      <c r="K7" s="7"/>
      <c r="L7" s="7"/>
      <c r="M7" s="7"/>
      <c r="N7" s="8"/>
    </row>
    <row r="8" spans="3:17" x14ac:dyDescent="0.5">
      <c r="D8" s="15"/>
      <c r="E8" s="6"/>
      <c r="F8" s="7"/>
      <c r="G8" s="7"/>
      <c r="H8" s="7"/>
      <c r="I8" s="7"/>
      <c r="J8" s="7"/>
      <c r="K8" s="7"/>
      <c r="L8" s="7"/>
      <c r="M8" s="7"/>
      <c r="N8" s="8"/>
    </row>
    <row r="9" spans="3:17" x14ac:dyDescent="0.5">
      <c r="D9" s="15"/>
      <c r="E9" s="6"/>
      <c r="F9" s="7"/>
      <c r="G9" s="7"/>
      <c r="H9" s="7"/>
      <c r="I9" s="7"/>
      <c r="J9" s="7"/>
      <c r="K9" s="7"/>
      <c r="L9" s="7"/>
      <c r="M9" s="7"/>
      <c r="N9" s="8"/>
    </row>
    <row r="10" spans="3:17" x14ac:dyDescent="0.5">
      <c r="D10" s="15"/>
      <c r="E10" s="6"/>
      <c r="F10" s="7"/>
      <c r="G10" s="7"/>
      <c r="H10" s="7"/>
      <c r="I10" s="7"/>
      <c r="J10" s="7"/>
      <c r="K10" s="7"/>
      <c r="L10" s="7"/>
      <c r="M10" s="7"/>
      <c r="N10" s="8"/>
    </row>
    <row r="11" spans="3:17" x14ac:dyDescent="0.5">
      <c r="D11" s="15"/>
      <c r="E11" s="6"/>
      <c r="F11" s="7"/>
      <c r="G11" s="7"/>
      <c r="H11" s="7"/>
      <c r="I11" s="7"/>
      <c r="J11" s="7"/>
      <c r="K11" s="7"/>
      <c r="L11" s="7"/>
      <c r="M11" s="7"/>
      <c r="N11" s="8"/>
    </row>
    <row r="12" spans="3:17" x14ac:dyDescent="0.5">
      <c r="D12" s="15"/>
      <c r="E12" s="6"/>
      <c r="F12" s="7"/>
      <c r="G12" s="7"/>
      <c r="H12" s="7"/>
      <c r="I12" s="7"/>
      <c r="J12" s="7"/>
      <c r="K12" s="7"/>
      <c r="L12" s="7"/>
      <c r="M12" s="7"/>
      <c r="N12" s="8"/>
    </row>
    <row r="13" spans="3:17" x14ac:dyDescent="0.5">
      <c r="D13" s="15"/>
      <c r="E13" s="6"/>
      <c r="F13" s="7"/>
      <c r="G13" s="7"/>
      <c r="H13" s="7"/>
      <c r="I13" s="7"/>
      <c r="J13" s="7"/>
      <c r="K13" s="7"/>
      <c r="L13" s="7"/>
      <c r="M13" s="7"/>
      <c r="N13" s="8"/>
    </row>
    <row r="14" spans="3:17" s="10" customFormat="1" ht="3.4" x14ac:dyDescent="0.15">
      <c r="E14" s="11"/>
      <c r="F14" s="12"/>
      <c r="G14" s="12"/>
      <c r="H14" s="12"/>
      <c r="I14" s="12"/>
      <c r="J14" s="12"/>
      <c r="K14" s="12"/>
      <c r="L14" s="12"/>
      <c r="M14" s="12"/>
      <c r="N14" s="13"/>
    </row>
    <row r="15" spans="3:17" x14ac:dyDescent="0.5">
      <c r="E15" s="39">
        <v>2005</v>
      </c>
      <c r="F15" s="40">
        <f>+E15+1</f>
        <v>2006</v>
      </c>
      <c r="G15" s="40">
        <f t="shared" ref="G15:N15" si="0">+F15+1</f>
        <v>2007</v>
      </c>
      <c r="H15" s="40">
        <f t="shared" si="0"/>
        <v>2008</v>
      </c>
      <c r="I15" s="40">
        <f t="shared" si="0"/>
        <v>2009</v>
      </c>
      <c r="J15" s="40">
        <f t="shared" si="0"/>
        <v>2010</v>
      </c>
      <c r="K15" s="40">
        <f t="shared" si="0"/>
        <v>2011</v>
      </c>
      <c r="L15" s="40">
        <f t="shared" si="0"/>
        <v>2012</v>
      </c>
      <c r="M15" s="40">
        <f t="shared" si="0"/>
        <v>2013</v>
      </c>
      <c r="N15" s="41">
        <f t="shared" si="0"/>
        <v>2014</v>
      </c>
      <c r="P15" s="36">
        <v>3</v>
      </c>
      <c r="Q15" s="37">
        <v>4</v>
      </c>
    </row>
    <row r="16" spans="3:17" ht="18" x14ac:dyDescent="0.55000000000000004">
      <c r="C16" s="38" t="s">
        <v>38</v>
      </c>
      <c r="D16" s="5"/>
      <c r="E16" s="24">
        <f>+GETPIVOTDATA("Temp",Pivot!$Y$6,"Year",E$15,"Zone",$C16)</f>
        <v>69</v>
      </c>
      <c r="F16" s="25">
        <f>+GETPIVOTDATA("Temp",Pivot!$Y$6,"Year",F$15,"Zone",$C16)</f>
        <v>64</v>
      </c>
      <c r="G16" s="25">
        <f>+GETPIVOTDATA("Temp",Pivot!$Y$6,"Year",G$15,"Zone",$C16)</f>
        <v>66</v>
      </c>
      <c r="H16" s="25">
        <f>+GETPIVOTDATA("Temp",Pivot!$Y$6,"Year",H$15,"Zone",$C16)</f>
        <v>54</v>
      </c>
      <c r="I16" s="25">
        <f>+GETPIVOTDATA("Temp",Pivot!$Y$6,"Year",I$15,"Zone",$C16)</f>
        <v>65</v>
      </c>
      <c r="J16" s="25">
        <f>+GETPIVOTDATA("Temp",Pivot!$Y$6,"Year",J$15,"Zone",$C16)</f>
        <v>71</v>
      </c>
      <c r="K16" s="25">
        <f>+GETPIVOTDATA("Temp",Pivot!$Y$6,"Year",K$15,"Zone",$C16)</f>
        <v>60</v>
      </c>
      <c r="L16" s="25">
        <f>+GETPIVOTDATA("Temp",Pivot!$Y$6,"Year",L$15,"Zone",$C16)</f>
        <v>63</v>
      </c>
      <c r="M16" s="25">
        <f>+GETPIVOTDATA("Temp",Pivot!$Y$6,"Year",M$15,"Zone",$C16)</f>
        <v>66</v>
      </c>
      <c r="N16" s="26">
        <f>+GETPIVOTDATA("Temp",Pivot!$Y$6,"Year",N$15,"Zone",$C16)</f>
        <v>75</v>
      </c>
    </row>
    <row r="17" spans="3:22" s="10" customFormat="1" ht="3.4" collapsed="1" x14ac:dyDescent="0.15">
      <c r="C17" s="38"/>
      <c r="E17" s="27">
        <f>E16</f>
        <v>69</v>
      </c>
      <c r="F17" s="28">
        <f t="shared" ref="F17:N17" si="1">F16</f>
        <v>64</v>
      </c>
      <c r="G17" s="28">
        <f t="shared" si="1"/>
        <v>66</v>
      </c>
      <c r="H17" s="28">
        <f t="shared" si="1"/>
        <v>54</v>
      </c>
      <c r="I17" s="28">
        <f t="shared" si="1"/>
        <v>65</v>
      </c>
      <c r="J17" s="28">
        <f t="shared" si="1"/>
        <v>71</v>
      </c>
      <c r="K17" s="28">
        <f t="shared" si="1"/>
        <v>60</v>
      </c>
      <c r="L17" s="28">
        <f t="shared" si="1"/>
        <v>63</v>
      </c>
      <c r="M17" s="28">
        <f t="shared" si="1"/>
        <v>66</v>
      </c>
      <c r="N17" s="29">
        <f t="shared" si="1"/>
        <v>75</v>
      </c>
    </row>
    <row r="18" spans="3:22" s="10" customFormat="1" ht="3.4" hidden="1" outlineLevel="1" x14ac:dyDescent="0.15">
      <c r="C18" s="21"/>
      <c r="E18" s="22"/>
      <c r="F18" s="22"/>
      <c r="G18" s="22"/>
      <c r="H18" s="22"/>
      <c r="I18" s="22"/>
      <c r="J18" s="22"/>
      <c r="K18" s="22"/>
      <c r="L18" s="22"/>
      <c r="M18" s="22"/>
      <c r="N18" s="22"/>
    </row>
    <row r="19" spans="3:22" ht="18" hidden="1" outlineLevel="1" x14ac:dyDescent="0.55000000000000004">
      <c r="C19" s="20" t="s">
        <v>15</v>
      </c>
      <c r="D19" s="5"/>
      <c r="E19" s="23">
        <f>GETPIVOTDATA("Temp",Pivot!$C$6,"Year",E$15,"Month",$C19)</f>
        <v>72</v>
      </c>
      <c r="F19" s="23">
        <f>GETPIVOTDATA("Temp",Pivot!$C$6,"Year",F$15,"Month",$C19)</f>
        <v>57</v>
      </c>
      <c r="G19" s="23">
        <f>GETPIVOTDATA("Temp",Pivot!$C$6,"Year",G$15,"Month",$C19)</f>
        <v>97</v>
      </c>
      <c r="H19" s="23">
        <f>GETPIVOTDATA("Temp",Pivot!$C$6,"Year",H$15,"Month",$C19)</f>
        <v>27</v>
      </c>
      <c r="I19" s="23">
        <f>GETPIVOTDATA("Temp",Pivot!$C$6,"Year",I$15,"Month",$C19)</f>
        <v>62</v>
      </c>
      <c r="J19" s="23">
        <f>GETPIVOTDATA("Temp",Pivot!$C$6,"Year",J$15,"Month",$C19)</f>
        <v>73</v>
      </c>
      <c r="K19" s="23">
        <f>GETPIVOTDATA("Temp",Pivot!$C$6,"Year",K$15,"Month",$C19)</f>
        <v>50</v>
      </c>
      <c r="L19" s="23">
        <f>GETPIVOTDATA("Temp",Pivot!$C$6,"Year",L$15,"Month",$C19)</f>
        <v>45</v>
      </c>
      <c r="M19" s="23">
        <f>GETPIVOTDATA("Temp",Pivot!$C$6,"Year",M$15,"Month",$C19)</f>
        <v>67</v>
      </c>
      <c r="N19" s="23">
        <f>GETPIVOTDATA("Temp",Pivot!$C$6,"Year",N$15,"Month",$C19)</f>
        <v>74</v>
      </c>
    </row>
    <row r="20" spans="3:22" ht="18" hidden="1" outlineLevel="1" x14ac:dyDescent="0.55000000000000004">
      <c r="C20" s="20" t="s">
        <v>16</v>
      </c>
      <c r="D20" s="5"/>
      <c r="E20" s="23">
        <f>GETPIVOTDATA("Temp",Pivot!$C$6,"Year",E$15,"Month",$C20)</f>
        <v>59</v>
      </c>
      <c r="F20" s="23">
        <f>GETPIVOTDATA("Temp",Pivot!$C$6,"Year",F$15,"Month",$C20)</f>
        <v>71</v>
      </c>
      <c r="G20" s="23">
        <f>GETPIVOTDATA("Temp",Pivot!$C$6,"Year",G$15,"Month",$C20)</f>
        <v>70</v>
      </c>
      <c r="H20" s="23">
        <f>GETPIVOTDATA("Temp",Pivot!$C$6,"Year",H$15,"Month",$C20)</f>
        <v>36</v>
      </c>
      <c r="I20" s="23">
        <f>GETPIVOTDATA("Temp",Pivot!$C$6,"Year",I$15,"Month",$C20)</f>
        <v>54</v>
      </c>
      <c r="J20" s="23">
        <f>GETPIVOTDATA("Temp",Pivot!$C$6,"Year",J$15,"Month",$C20)</f>
        <v>79</v>
      </c>
      <c r="K20" s="23">
        <f>GETPIVOTDATA("Temp",Pivot!$C$6,"Year",K$15,"Month",$C20)</f>
        <v>51</v>
      </c>
      <c r="L20" s="23">
        <f>GETPIVOTDATA("Temp",Pivot!$C$6,"Year",L$15,"Month",$C20)</f>
        <v>49</v>
      </c>
      <c r="M20" s="23">
        <f>GETPIVOTDATA("Temp",Pivot!$C$6,"Year",M$15,"Month",$C20)</f>
        <v>57</v>
      </c>
      <c r="N20" s="23">
        <f>GETPIVOTDATA("Temp",Pivot!$C$6,"Year",N$15,"Month",$C20)</f>
        <v>50</v>
      </c>
    </row>
    <row r="21" spans="3:22" ht="18" hidden="1" outlineLevel="1" x14ac:dyDescent="0.55000000000000004">
      <c r="C21" s="20" t="s">
        <v>17</v>
      </c>
      <c r="D21" s="5"/>
      <c r="E21" s="23">
        <f>GETPIVOTDATA("Temp",Pivot!$C$6,"Year",E$15,"Month",$C21)</f>
        <v>69</v>
      </c>
      <c r="F21" s="23">
        <f>GETPIVOTDATA("Temp",Pivot!$C$6,"Year",F$15,"Month",$C21)</f>
        <v>64</v>
      </c>
      <c r="G21" s="23">
        <f>GETPIVOTDATA("Temp",Pivot!$C$6,"Year",G$15,"Month",$C21)</f>
        <v>70</v>
      </c>
      <c r="H21" s="23">
        <f>GETPIVOTDATA("Temp",Pivot!$C$6,"Year",H$15,"Month",$C21)</f>
        <v>75</v>
      </c>
      <c r="I21" s="23">
        <f>GETPIVOTDATA("Temp",Pivot!$C$6,"Year",I$15,"Month",$C21)</f>
        <v>53</v>
      </c>
      <c r="J21" s="23">
        <f>GETPIVOTDATA("Temp",Pivot!$C$6,"Year",J$15,"Month",$C21)</f>
        <v>92</v>
      </c>
      <c r="K21" s="23">
        <f>GETPIVOTDATA("Temp",Pivot!$C$6,"Year",K$15,"Month",$C21)</f>
        <v>64</v>
      </c>
      <c r="L21" s="23">
        <f>GETPIVOTDATA("Temp",Pivot!$C$6,"Year",L$15,"Month",$C21)</f>
        <v>57</v>
      </c>
      <c r="M21" s="23">
        <f>GETPIVOTDATA("Temp",Pivot!$C$6,"Year",M$15,"Month",$C21)</f>
        <v>65</v>
      </c>
      <c r="N21" s="23">
        <f>GETPIVOTDATA("Temp",Pivot!$C$6,"Year",N$15,"Month",$C21)</f>
        <v>77</v>
      </c>
    </row>
    <row r="22" spans="3:22" ht="18" hidden="1" outlineLevel="1" x14ac:dyDescent="0.55000000000000004">
      <c r="C22" s="20" t="s">
        <v>18</v>
      </c>
      <c r="D22" s="5"/>
      <c r="E22" s="23">
        <f>GETPIVOTDATA("Temp",Pivot!$C$6,"Year",E$15,"Month",$C22)</f>
        <v>70</v>
      </c>
      <c r="F22" s="23">
        <f>GETPIVOTDATA("Temp",Pivot!$C$6,"Year",F$15,"Month",$C22)</f>
        <v>49</v>
      </c>
      <c r="G22" s="23">
        <f>GETPIVOTDATA("Temp",Pivot!$C$6,"Year",G$15,"Month",$C22)</f>
        <v>75</v>
      </c>
      <c r="H22" s="23">
        <f>GETPIVOTDATA("Temp",Pivot!$C$6,"Year",H$15,"Month",$C22)</f>
        <v>53</v>
      </c>
      <c r="I22" s="23">
        <f>GETPIVOTDATA("Temp",Pivot!$C$6,"Year",I$15,"Month",$C22)</f>
        <v>61</v>
      </c>
      <c r="J22" s="23">
        <f>GETPIVOTDATA("Temp",Pivot!$C$6,"Year",J$15,"Month",$C22)</f>
        <v>87</v>
      </c>
      <c r="K22" s="23">
        <f>GETPIVOTDATA("Temp",Pivot!$C$6,"Year",K$15,"Month",$C22)</f>
        <v>66</v>
      </c>
      <c r="L22" s="23">
        <f>GETPIVOTDATA("Temp",Pivot!$C$6,"Year",L$15,"Month",$C22)</f>
        <v>69</v>
      </c>
      <c r="M22" s="23">
        <f>GETPIVOTDATA("Temp",Pivot!$C$6,"Year",M$15,"Month",$C22)</f>
        <v>54</v>
      </c>
      <c r="N22" s="23">
        <f>GETPIVOTDATA("Temp",Pivot!$C$6,"Year",N$15,"Month",$C22)</f>
        <v>78</v>
      </c>
    </row>
    <row r="23" spans="3:22" ht="18" hidden="1" outlineLevel="1" x14ac:dyDescent="0.55000000000000004">
      <c r="C23" s="20" t="s">
        <v>20</v>
      </c>
      <c r="D23" s="5"/>
      <c r="E23" s="23">
        <f>GETPIVOTDATA("Temp",Pivot!$C$6,"Year",E$15,"Month",$C23)</f>
        <v>66</v>
      </c>
      <c r="F23" s="23">
        <f>GETPIVOTDATA("Temp",Pivot!$C$6,"Year",F$15,"Month",$C23)</f>
        <v>64</v>
      </c>
      <c r="G23" s="23">
        <f>GETPIVOTDATA("Temp",Pivot!$C$6,"Year",G$15,"Month",$C23)</f>
        <v>59</v>
      </c>
      <c r="H23" s="23">
        <f>GETPIVOTDATA("Temp",Pivot!$C$6,"Year",H$15,"Month",$C23)</f>
        <v>48</v>
      </c>
      <c r="I23" s="23">
        <f>GETPIVOTDATA("Temp",Pivot!$C$6,"Year",I$15,"Month",$C23)</f>
        <v>67</v>
      </c>
      <c r="J23" s="23">
        <f>GETPIVOTDATA("Temp",Pivot!$C$6,"Year",J$15,"Month",$C23)</f>
        <v>64</v>
      </c>
      <c r="K23" s="23">
        <f>GETPIVOTDATA("Temp",Pivot!$C$6,"Year",K$15,"Month",$C23)</f>
        <v>59</v>
      </c>
      <c r="L23" s="23">
        <f>GETPIVOTDATA("Temp",Pivot!$C$6,"Year",L$15,"Month",$C23)</f>
        <v>62</v>
      </c>
      <c r="M23" s="23">
        <f>GETPIVOTDATA("Temp",Pivot!$C$6,"Year",M$15,"Month",$C23)</f>
        <v>65</v>
      </c>
      <c r="N23" s="23">
        <f>GETPIVOTDATA("Temp",Pivot!$C$6,"Year",N$15,"Month",$C23)</f>
        <v>66</v>
      </c>
    </row>
    <row r="24" spans="3:22" ht="18" hidden="1" outlineLevel="1" x14ac:dyDescent="0.55000000000000004">
      <c r="C24" s="20" t="s">
        <v>21</v>
      </c>
      <c r="D24" s="5"/>
      <c r="E24" s="23">
        <f>GETPIVOTDATA("Temp",Pivot!$C$6,"Year",E$15,"Month",$C24)</f>
        <v>66</v>
      </c>
      <c r="F24" s="23">
        <f>GETPIVOTDATA("Temp",Pivot!$C$6,"Year",F$15,"Month",$C24)</f>
        <v>55</v>
      </c>
      <c r="G24" s="23">
        <f>GETPIVOTDATA("Temp",Pivot!$C$6,"Year",G$15,"Month",$C24)</f>
        <v>62</v>
      </c>
      <c r="H24" s="23">
        <f>GETPIVOTDATA("Temp",Pivot!$C$6,"Year",H$15,"Month",$C24)</f>
        <v>60</v>
      </c>
      <c r="I24" s="23">
        <f>GETPIVOTDATA("Temp",Pivot!$C$6,"Year",I$15,"Month",$C24)</f>
        <v>73</v>
      </c>
      <c r="J24" s="23">
        <f>GETPIVOTDATA("Temp",Pivot!$C$6,"Year",J$15,"Month",$C24)</f>
        <v>61</v>
      </c>
      <c r="K24" s="23">
        <f>GETPIVOTDATA("Temp",Pivot!$C$6,"Year",K$15,"Month",$C24)</f>
        <v>74</v>
      </c>
      <c r="L24" s="23">
        <f>GETPIVOTDATA("Temp",Pivot!$C$6,"Year",L$15,"Month",$C24)</f>
        <v>56</v>
      </c>
      <c r="M24" s="23">
        <f>GETPIVOTDATA("Temp",Pivot!$C$6,"Year",M$15,"Month",$C24)</f>
        <v>59</v>
      </c>
      <c r="N24" s="23">
        <f>GETPIVOTDATA("Temp",Pivot!$C$6,"Year",N$15,"Month",$C24)</f>
        <v>58</v>
      </c>
    </row>
    <row r="25" spans="3:22" ht="18" hidden="1" outlineLevel="1" x14ac:dyDescent="0.55000000000000004">
      <c r="C25" s="20" t="s">
        <v>22</v>
      </c>
      <c r="D25" s="5"/>
      <c r="E25" s="23">
        <f>GETPIVOTDATA("Temp",Pivot!$C$6,"Year",E$15,"Month",$C25)</f>
        <v>63</v>
      </c>
      <c r="F25" s="23">
        <f>GETPIVOTDATA("Temp",Pivot!$C$6,"Year",F$15,"Month",$C25)</f>
        <v>71</v>
      </c>
      <c r="G25" s="23">
        <f>GETPIVOTDATA("Temp",Pivot!$C$6,"Year",G$15,"Month",$C25)</f>
        <v>61</v>
      </c>
      <c r="H25" s="23">
        <f>GETPIVOTDATA("Temp",Pivot!$C$6,"Year",H$15,"Month",$C25)</f>
        <v>45</v>
      </c>
      <c r="I25" s="23">
        <f>GETPIVOTDATA("Temp",Pivot!$C$6,"Year",I$15,"Month",$C25)</f>
        <v>68</v>
      </c>
      <c r="J25" s="23">
        <f>GETPIVOTDATA("Temp",Pivot!$C$6,"Year",J$15,"Month",$C25)</f>
        <v>65</v>
      </c>
      <c r="K25" s="23">
        <f>GETPIVOTDATA("Temp",Pivot!$C$6,"Year",K$15,"Month",$C25)</f>
        <v>73</v>
      </c>
      <c r="L25" s="23">
        <f>GETPIVOTDATA("Temp",Pivot!$C$6,"Year",L$15,"Month",$C25)</f>
        <v>64</v>
      </c>
      <c r="M25" s="23">
        <f>GETPIVOTDATA("Temp",Pivot!$C$6,"Year",M$15,"Month",$C25)</f>
        <v>66</v>
      </c>
      <c r="N25" s="23">
        <f>GETPIVOTDATA("Temp",Pivot!$C$6,"Year",N$15,"Month",$C25)</f>
        <v>82</v>
      </c>
    </row>
    <row r="26" spans="3:22" ht="18" hidden="1" outlineLevel="1" x14ac:dyDescent="0.55000000000000004">
      <c r="C26" s="20" t="s">
        <v>23</v>
      </c>
      <c r="D26" s="5"/>
      <c r="E26" s="23">
        <f>GETPIVOTDATA("Temp",Pivot!$C$6,"Year",E$15,"Month",$C26)</f>
        <v>77</v>
      </c>
      <c r="F26" s="23">
        <f>GETPIVOTDATA("Temp",Pivot!$C$6,"Year",F$15,"Month",$C26)</f>
        <v>64</v>
      </c>
      <c r="G26" s="23">
        <f>GETPIVOTDATA("Temp",Pivot!$C$6,"Year",G$15,"Month",$C26)</f>
        <v>65</v>
      </c>
      <c r="H26" s="23">
        <f>GETPIVOTDATA("Temp",Pivot!$C$6,"Year",H$15,"Month",$C26)</f>
        <v>64</v>
      </c>
      <c r="I26" s="23">
        <f>GETPIVOTDATA("Temp",Pivot!$C$6,"Year",I$15,"Month",$C26)</f>
        <v>69</v>
      </c>
      <c r="J26" s="23">
        <f>GETPIVOTDATA("Temp",Pivot!$C$6,"Year",J$15,"Month",$C26)</f>
        <v>61</v>
      </c>
      <c r="K26" s="23">
        <f>GETPIVOTDATA("Temp",Pivot!$C$6,"Year",K$15,"Month",$C26)</f>
        <v>56</v>
      </c>
      <c r="L26" s="23">
        <f>GETPIVOTDATA("Temp",Pivot!$C$6,"Year",L$15,"Month",$C26)</f>
        <v>75</v>
      </c>
      <c r="M26" s="23">
        <f>GETPIVOTDATA("Temp",Pivot!$C$6,"Year",M$15,"Month",$C26)</f>
        <v>77</v>
      </c>
      <c r="N26" s="23">
        <f>GETPIVOTDATA("Temp",Pivot!$C$6,"Year",N$15,"Month",$C26)</f>
        <v>90</v>
      </c>
    </row>
    <row r="27" spans="3:22" ht="18" hidden="1" outlineLevel="1" x14ac:dyDescent="0.55000000000000004">
      <c r="C27" s="20" t="s">
        <v>24</v>
      </c>
      <c r="D27" s="5"/>
      <c r="E27" s="23">
        <f>GETPIVOTDATA("Temp",Pivot!$C$6,"Year",E$15,"Month",$C27)</f>
        <v>80</v>
      </c>
      <c r="F27" s="23">
        <f>GETPIVOTDATA("Temp",Pivot!$C$6,"Year",F$15,"Month",$C27)</f>
        <v>70</v>
      </c>
      <c r="G27" s="23">
        <f>GETPIVOTDATA("Temp",Pivot!$C$6,"Year",G$15,"Month",$C27)</f>
        <v>61</v>
      </c>
      <c r="H27" s="23">
        <f>GETPIVOTDATA("Temp",Pivot!$C$6,"Year",H$15,"Month",$C27)</f>
        <v>67</v>
      </c>
      <c r="I27" s="23">
        <f>GETPIVOTDATA("Temp",Pivot!$C$6,"Year",I$15,"Month",$C27)</f>
        <v>65</v>
      </c>
      <c r="J27" s="23">
        <f>GETPIVOTDATA("Temp",Pivot!$C$6,"Year",J$15,"Month",$C27)</f>
        <v>71</v>
      </c>
      <c r="K27" s="23">
        <f>GETPIVOTDATA("Temp",Pivot!$C$6,"Year",K$15,"Month",$C27)</f>
        <v>67</v>
      </c>
      <c r="L27" s="23">
        <f>GETPIVOTDATA("Temp",Pivot!$C$6,"Year",L$15,"Month",$C27)</f>
        <v>79</v>
      </c>
      <c r="M27" s="23">
        <f>GETPIVOTDATA("Temp",Pivot!$C$6,"Year",M$15,"Month",$C27)</f>
        <v>70</v>
      </c>
      <c r="N27" s="23">
        <f>GETPIVOTDATA("Temp",Pivot!$C$6,"Year",N$15,"Month",$C27)</f>
        <v>86</v>
      </c>
    </row>
    <row r="28" spans="3:22" ht="18" hidden="1" outlineLevel="1" x14ac:dyDescent="0.55000000000000004">
      <c r="C28" s="20" t="s">
        <v>25</v>
      </c>
      <c r="D28" s="5"/>
      <c r="E28" s="23">
        <f>GETPIVOTDATA("Temp",Pivot!$C$6,"Year",E$15,"Month",$C28)</f>
        <v>75</v>
      </c>
      <c r="F28" s="23">
        <f>GETPIVOTDATA("Temp",Pivot!$C$6,"Year",F$15,"Month",$C28)</f>
        <v>73</v>
      </c>
      <c r="G28" s="23">
        <f>GETPIVOTDATA("Temp",Pivot!$C$6,"Year",G$15,"Month",$C28)</f>
        <v>57</v>
      </c>
      <c r="H28" s="23">
        <f>GETPIVOTDATA("Temp",Pivot!$C$6,"Year",H$15,"Month",$C28)</f>
        <v>67</v>
      </c>
      <c r="I28" s="23">
        <f>GETPIVOTDATA("Temp",Pivot!$C$6,"Year",I$15,"Month",$C28)</f>
        <v>78</v>
      </c>
      <c r="J28" s="23">
        <f>GETPIVOTDATA("Temp",Pivot!$C$6,"Year",J$15,"Month",$C28)</f>
        <v>79</v>
      </c>
      <c r="K28" s="23">
        <f>GETPIVOTDATA("Temp",Pivot!$C$6,"Year",K$15,"Month",$C28)</f>
        <v>56</v>
      </c>
      <c r="L28" s="23">
        <f>GETPIVOTDATA("Temp",Pivot!$C$6,"Year",L$15,"Month",$C28)</f>
        <v>74</v>
      </c>
      <c r="M28" s="23">
        <f>GETPIVOTDATA("Temp",Pivot!$C$6,"Year",M$15,"Month",$C28)</f>
        <v>81</v>
      </c>
      <c r="N28" s="23">
        <f>GETPIVOTDATA("Temp",Pivot!$C$6,"Year",N$15,"Month",$C28)</f>
        <v>68</v>
      </c>
    </row>
    <row r="29" spans="3:22" ht="18" hidden="1" outlineLevel="1" x14ac:dyDescent="0.55000000000000004">
      <c r="C29" s="20" t="s">
        <v>26</v>
      </c>
      <c r="D29" s="5"/>
      <c r="E29" s="23">
        <f>GETPIVOTDATA("Temp",Pivot!$C$6,"Year",E$15,"Month",$C29)</f>
        <v>68</v>
      </c>
      <c r="F29" s="23">
        <f>GETPIVOTDATA("Temp",Pivot!$C$6,"Year",F$15,"Month",$C29)</f>
        <v>78</v>
      </c>
      <c r="G29" s="23">
        <f>GETPIVOTDATA("Temp",Pivot!$C$6,"Year",G$15,"Month",$C29)</f>
        <v>49</v>
      </c>
      <c r="H29" s="23">
        <f>GETPIVOTDATA("Temp",Pivot!$C$6,"Year",H$15,"Month",$C29)</f>
        <v>55</v>
      </c>
      <c r="I29" s="23">
        <f>GETPIVOTDATA("Temp",Pivot!$C$6,"Year",I$15,"Month",$C29)</f>
        <v>65</v>
      </c>
      <c r="J29" s="23">
        <f>GETPIVOTDATA("Temp",Pivot!$C$6,"Year",J$15,"Month",$C29)</f>
        <v>49</v>
      </c>
      <c r="K29" s="23">
        <f>GETPIVOTDATA("Temp",Pivot!$C$6,"Year",K$15,"Month",$C29)</f>
        <v>53</v>
      </c>
      <c r="L29" s="23">
        <f>GETPIVOTDATA("Temp",Pivot!$C$6,"Year",L$15,"Month",$C29)</f>
        <v>52</v>
      </c>
      <c r="M29" s="23">
        <f>GETPIVOTDATA("Temp",Pivot!$C$6,"Year",M$15,"Month",$C29)</f>
        <v>67</v>
      </c>
      <c r="N29" s="23">
        <f>GETPIVOTDATA("Temp",Pivot!$C$6,"Year",N$15,"Month",$C29)</f>
        <v>79</v>
      </c>
    </row>
    <row r="30" spans="3:22" ht="18" hidden="1" outlineLevel="1" x14ac:dyDescent="0.55000000000000004">
      <c r="C30" s="9"/>
      <c r="D30" s="5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3:22" ht="18" hidden="1" outlineLevel="1" x14ac:dyDescent="0.55000000000000004">
      <c r="C31" s="32" t="s">
        <v>2</v>
      </c>
      <c r="D31" s="5"/>
      <c r="E31" s="23">
        <f>GETPIVOTDATA("Temp",Pivot!$Y$6,"Year",E$15,"Zone",$C31)</f>
        <v>84</v>
      </c>
      <c r="F31" s="23">
        <f>GETPIVOTDATA("Temp",Pivot!$Y$6,"Year",F$15,"Zone",$C31)</f>
        <v>80</v>
      </c>
      <c r="G31" s="23">
        <f>GETPIVOTDATA("Temp",Pivot!$Y$6,"Year",G$15,"Zone",$C31)</f>
        <v>83</v>
      </c>
      <c r="H31" s="23">
        <f>GETPIVOTDATA("Temp",Pivot!$Y$6,"Year",H$15,"Zone",$C31)</f>
        <v>66</v>
      </c>
      <c r="I31" s="23">
        <f>GETPIVOTDATA("Temp",Pivot!$Y$6,"Year",I$15,"Zone",$C31)</f>
        <v>71</v>
      </c>
      <c r="J31" s="23">
        <f>GETPIVOTDATA("Temp",Pivot!$Y$6,"Year",J$15,"Zone",$C31)</f>
        <v>88</v>
      </c>
      <c r="K31" s="23">
        <f>GETPIVOTDATA("Temp",Pivot!$Y$6,"Year",K$15,"Zone",$C31)</f>
        <v>71</v>
      </c>
      <c r="L31" s="23">
        <f>GETPIVOTDATA("Temp",Pivot!$Y$6,"Year",L$15,"Zone",$C31)</f>
        <v>77</v>
      </c>
      <c r="M31" s="23">
        <f>GETPIVOTDATA("Temp",Pivot!$Y$6,"Year",M$15,"Zone",$C31)</f>
        <v>76</v>
      </c>
      <c r="N31" s="23">
        <f>GETPIVOTDATA("Temp",Pivot!$Y$6,"Year",N$15,"Zone",$C31)</f>
        <v>91</v>
      </c>
      <c r="V31">
        <v>2005</v>
      </c>
    </row>
    <row r="32" spans="3:22" ht="18" hidden="1" outlineLevel="1" x14ac:dyDescent="0.55000000000000004">
      <c r="C32" s="32" t="s">
        <v>4</v>
      </c>
      <c r="D32" s="5"/>
      <c r="E32" s="23">
        <f>GETPIVOTDATA("Temp",Pivot!$Y$6,"Year",E$15,"Zone",$C32)</f>
        <v>99</v>
      </c>
      <c r="F32" s="23">
        <f>GETPIVOTDATA("Temp",Pivot!$Y$6,"Year",F$15,"Zone",$C32)</f>
        <v>96</v>
      </c>
      <c r="G32" s="23">
        <f>GETPIVOTDATA("Temp",Pivot!$Y$6,"Year",G$15,"Zone",$C32)</f>
        <v>110</v>
      </c>
      <c r="H32" s="23">
        <f>GETPIVOTDATA("Temp",Pivot!$Y$6,"Year",H$15,"Zone",$C32)</f>
        <v>88</v>
      </c>
      <c r="I32" s="23">
        <f>GETPIVOTDATA("Temp",Pivot!$Y$6,"Year",I$15,"Zone",$C32)</f>
        <v>74</v>
      </c>
      <c r="J32" s="23">
        <f>GETPIVOTDATA("Temp",Pivot!$Y$6,"Year",J$15,"Zone",$C32)</f>
        <v>98</v>
      </c>
      <c r="K32" s="23">
        <f>GETPIVOTDATA("Temp",Pivot!$Y$6,"Year",K$15,"Zone",$C32)</f>
        <v>93</v>
      </c>
      <c r="L32" s="23">
        <f>GETPIVOTDATA("Temp",Pivot!$Y$6,"Year",L$15,"Zone",$C32)</f>
        <v>97</v>
      </c>
      <c r="M32" s="23">
        <f>GETPIVOTDATA("Temp",Pivot!$Y$6,"Year",M$15,"Zone",$C32)</f>
        <v>88</v>
      </c>
      <c r="N32" s="23">
        <f>GETPIVOTDATA("Temp",Pivot!$Y$6,"Year",N$15,"Zone",$C32)</f>
        <v>106</v>
      </c>
    </row>
    <row r="33" spans="3:23" ht="18" hidden="1" outlineLevel="1" x14ac:dyDescent="0.55000000000000004">
      <c r="C33" s="32" t="s">
        <v>7</v>
      </c>
      <c r="D33" s="5"/>
      <c r="E33" s="23">
        <f>GETPIVOTDATA("Temp",Pivot!$Y$6,"Year",E$15,"Zone",$C33)</f>
        <v>200</v>
      </c>
      <c r="F33" s="23">
        <f>GETPIVOTDATA("Temp",Pivot!$Y$6,"Year",F$15,"Zone",$C33)</f>
        <v>173</v>
      </c>
      <c r="G33" s="23">
        <f>GETPIVOTDATA("Temp",Pivot!$Y$6,"Year",G$15,"Zone",$C33)</f>
        <v>201</v>
      </c>
      <c r="H33" s="23">
        <f>GETPIVOTDATA("Temp",Pivot!$Y$6,"Year",H$15,"Zone",$C33)</f>
        <v>144</v>
      </c>
      <c r="I33" s="23">
        <f>GETPIVOTDATA("Temp",Pivot!$Y$6,"Year",I$15,"Zone",$C33)</f>
        <v>127</v>
      </c>
      <c r="J33" s="23">
        <f>GETPIVOTDATA("Temp",Pivot!$Y$6,"Year",J$15,"Zone",$C33)</f>
        <v>199</v>
      </c>
      <c r="K33" s="23">
        <f>GETPIVOTDATA("Temp",Pivot!$Y$6,"Year",K$15,"Zone",$C33)</f>
        <v>211</v>
      </c>
      <c r="L33" s="23">
        <f>GETPIVOTDATA("Temp",Pivot!$Y$6,"Year",L$15,"Zone",$C33)</f>
        <v>189</v>
      </c>
      <c r="M33" s="23">
        <f>GETPIVOTDATA("Temp",Pivot!$Y$6,"Year",M$15,"Zone",$C33)</f>
        <v>123</v>
      </c>
      <c r="N33" s="23">
        <f>GETPIVOTDATA("Temp",Pivot!$Y$6,"Year",N$15,"Zone",$C33)</f>
        <v>185</v>
      </c>
    </row>
    <row r="34" spans="3:23" ht="18" hidden="1" outlineLevel="1" x14ac:dyDescent="0.55000000000000004">
      <c r="C34" s="32" t="s">
        <v>8</v>
      </c>
      <c r="D34" s="5"/>
      <c r="E34" s="23">
        <f>GETPIVOTDATA("Temp",Pivot!$Y$6,"Year",E$15,"Zone",$C34)</f>
        <v>116</v>
      </c>
      <c r="F34" s="23">
        <f>GETPIVOTDATA("Temp",Pivot!$Y$6,"Year",F$15,"Zone",$C34)</f>
        <v>105</v>
      </c>
      <c r="G34" s="23">
        <f>GETPIVOTDATA("Temp",Pivot!$Y$6,"Year",G$15,"Zone",$C34)</f>
        <v>129</v>
      </c>
      <c r="H34" s="23">
        <f>GETPIVOTDATA("Temp",Pivot!$Y$6,"Year",H$15,"Zone",$C34)</f>
        <v>102</v>
      </c>
      <c r="I34" s="23">
        <f>GETPIVOTDATA("Temp",Pivot!$Y$6,"Year",I$15,"Zone",$C34)</f>
        <v>58</v>
      </c>
      <c r="J34" s="23">
        <f>GETPIVOTDATA("Temp",Pivot!$Y$6,"Year",J$15,"Zone",$C34)</f>
        <v>86</v>
      </c>
      <c r="K34" s="23">
        <f>GETPIVOTDATA("Temp",Pivot!$Y$6,"Year",K$15,"Zone",$C34)</f>
        <v>90</v>
      </c>
      <c r="L34" s="23">
        <f>GETPIVOTDATA("Temp",Pivot!$Y$6,"Year",L$15,"Zone",$C34)</f>
        <v>89</v>
      </c>
      <c r="M34" s="23">
        <f>GETPIVOTDATA("Temp",Pivot!$Y$6,"Year",M$15,"Zone",$C34)</f>
        <v>103</v>
      </c>
      <c r="N34" s="23">
        <f>GETPIVOTDATA("Temp",Pivot!$Y$6,"Year",N$15,"Zone",$C34)</f>
        <v>113</v>
      </c>
    </row>
    <row r="35" spans="3:23" ht="18" hidden="1" outlineLevel="1" x14ac:dyDescent="0.55000000000000004">
      <c r="C35" s="32" t="s">
        <v>9</v>
      </c>
      <c r="D35" s="5"/>
      <c r="E35" s="23">
        <f>GETPIVOTDATA("Temp",Pivot!$Y$6,"Year",E$15,"Zone",$C35)</f>
        <v>56</v>
      </c>
      <c r="F35" s="23">
        <f>GETPIVOTDATA("Temp",Pivot!$Y$6,"Year",F$15,"Zone",$C35)</f>
        <v>67</v>
      </c>
      <c r="G35" s="23">
        <f>GETPIVOTDATA("Temp",Pivot!$Y$6,"Year",G$15,"Zone",$C35)</f>
        <v>69</v>
      </c>
      <c r="H35" s="23">
        <f>GETPIVOTDATA("Temp",Pivot!$Y$6,"Year",H$15,"Zone",$C35)</f>
        <v>61</v>
      </c>
      <c r="I35" s="23">
        <f>GETPIVOTDATA("Temp",Pivot!$Y$6,"Year",I$15,"Zone",$C35)</f>
        <v>67</v>
      </c>
      <c r="J35" s="23">
        <f>GETPIVOTDATA("Temp",Pivot!$Y$6,"Year",J$15,"Zone",$C35)</f>
        <v>74</v>
      </c>
      <c r="K35" s="23">
        <f>GETPIVOTDATA("Temp",Pivot!$Y$6,"Year",K$15,"Zone",$C35)</f>
        <v>57</v>
      </c>
      <c r="L35" s="23">
        <f>GETPIVOTDATA("Temp",Pivot!$Y$6,"Year",L$15,"Zone",$C35)</f>
        <v>73</v>
      </c>
      <c r="M35" s="23">
        <f>GETPIVOTDATA("Temp",Pivot!$Y$6,"Year",M$15,"Zone",$C35)</f>
        <v>68</v>
      </c>
      <c r="N35" s="23">
        <f>GETPIVOTDATA("Temp",Pivot!$Y$6,"Year",N$15,"Zone",$C35)</f>
        <v>76</v>
      </c>
    </row>
    <row r="36" spans="3:23" ht="18" hidden="1" outlineLevel="1" x14ac:dyDescent="0.55000000000000004">
      <c r="C36" s="32" t="s">
        <v>10</v>
      </c>
      <c r="D36" s="5"/>
      <c r="E36" s="23">
        <f>GETPIVOTDATA("Temp",Pivot!$Y$6,"Year",E$15,"Zone",$C36)</f>
        <v>61</v>
      </c>
      <c r="F36" s="23">
        <f>GETPIVOTDATA("Temp",Pivot!$Y$6,"Year",F$15,"Zone",$C36)</f>
        <v>55</v>
      </c>
      <c r="G36" s="23">
        <f>GETPIVOTDATA("Temp",Pivot!$Y$6,"Year",G$15,"Zone",$C36)</f>
        <v>44</v>
      </c>
      <c r="H36" s="23">
        <f>GETPIVOTDATA("Temp",Pivot!$Y$6,"Year",H$15,"Zone",$C36)</f>
        <v>33</v>
      </c>
      <c r="I36" s="23">
        <f>GETPIVOTDATA("Temp",Pivot!$Y$6,"Year",I$15,"Zone",$C36)</f>
        <v>66</v>
      </c>
      <c r="J36" s="23">
        <f>GETPIVOTDATA("Temp",Pivot!$Y$6,"Year",J$15,"Zone",$C36)</f>
        <v>72</v>
      </c>
      <c r="K36" s="23">
        <f>GETPIVOTDATA("Temp",Pivot!$Y$6,"Year",K$15,"Zone",$C36)</f>
        <v>38</v>
      </c>
      <c r="L36" s="23">
        <f>GETPIVOTDATA("Temp",Pivot!$Y$6,"Year",L$15,"Zone",$C36)</f>
        <v>46</v>
      </c>
      <c r="M36" s="23">
        <f>GETPIVOTDATA("Temp",Pivot!$Y$6,"Year",M$15,"Zone",$C36)</f>
        <v>57</v>
      </c>
      <c r="N36" s="23">
        <f>GETPIVOTDATA("Temp",Pivot!$Y$6,"Year",N$15,"Zone",$C36)</f>
        <v>70</v>
      </c>
    </row>
    <row r="37" spans="3:23" ht="18" hidden="1" outlineLevel="1" x14ac:dyDescent="0.55000000000000004">
      <c r="C37" s="32" t="s">
        <v>5</v>
      </c>
      <c r="D37" s="5"/>
      <c r="E37" s="23">
        <f>GETPIVOTDATA("Temp",Pivot!$Y$6,"Year",E$15,"Zone",$C37)</f>
        <v>65</v>
      </c>
      <c r="F37" s="23">
        <f>GETPIVOTDATA("Temp",Pivot!$Y$6,"Year",F$15,"Zone",$C37)</f>
        <v>56</v>
      </c>
      <c r="G37" s="23">
        <f>GETPIVOTDATA("Temp",Pivot!$Y$6,"Year",G$15,"Zone",$C37)</f>
        <v>47</v>
      </c>
      <c r="H37" s="23">
        <f>GETPIVOTDATA("Temp",Pivot!$Y$6,"Year",H$15,"Zone",$C37)</f>
        <v>39</v>
      </c>
      <c r="I37" s="23">
        <f>GETPIVOTDATA("Temp",Pivot!$Y$6,"Year",I$15,"Zone",$C37)</f>
        <v>68</v>
      </c>
      <c r="J37" s="23">
        <f>GETPIVOTDATA("Temp",Pivot!$Y$6,"Year",J$15,"Zone",$C37)</f>
        <v>69</v>
      </c>
      <c r="K37" s="23">
        <f>GETPIVOTDATA("Temp",Pivot!$Y$6,"Year",K$15,"Zone",$C37)</f>
        <v>37</v>
      </c>
      <c r="L37" s="23">
        <f>GETPIVOTDATA("Temp",Pivot!$Y$6,"Year",L$15,"Zone",$C37)</f>
        <v>51</v>
      </c>
      <c r="M37" s="23">
        <f>GETPIVOTDATA("Temp",Pivot!$Y$6,"Year",M$15,"Zone",$C37)</f>
        <v>58</v>
      </c>
      <c r="N37" s="23">
        <f>GETPIVOTDATA("Temp",Pivot!$Y$6,"Year",N$15,"Zone",$C37)</f>
        <v>67</v>
      </c>
    </row>
    <row r="38" spans="3:23" ht="18" hidden="1" outlineLevel="1" x14ac:dyDescent="0.55000000000000004">
      <c r="C38" s="32" t="s">
        <v>11</v>
      </c>
      <c r="D38" s="5"/>
      <c r="E38" s="23">
        <f>GETPIVOTDATA("Temp",Pivot!$Y$6,"Year",E$15,"Zone",$C38)</f>
        <v>69</v>
      </c>
      <c r="F38" s="23">
        <f>GETPIVOTDATA("Temp",Pivot!$Y$6,"Year",F$15,"Zone",$C38)</f>
        <v>58</v>
      </c>
      <c r="G38" s="23">
        <f>GETPIVOTDATA("Temp",Pivot!$Y$6,"Year",G$15,"Zone",$C38)</f>
        <v>50</v>
      </c>
      <c r="H38" s="23">
        <f>GETPIVOTDATA("Temp",Pivot!$Y$6,"Year",H$15,"Zone",$C38)</f>
        <v>45</v>
      </c>
      <c r="I38" s="23">
        <f>GETPIVOTDATA("Temp",Pivot!$Y$6,"Year",I$15,"Zone",$C38)</f>
        <v>71</v>
      </c>
      <c r="J38" s="23">
        <f>GETPIVOTDATA("Temp",Pivot!$Y$6,"Year",J$15,"Zone",$C38)</f>
        <v>66</v>
      </c>
      <c r="K38" s="23">
        <f>GETPIVOTDATA("Temp",Pivot!$Y$6,"Year",K$15,"Zone",$C38)</f>
        <v>37</v>
      </c>
      <c r="L38" s="23">
        <f>GETPIVOTDATA("Temp",Pivot!$Y$6,"Year",L$15,"Zone",$C38)</f>
        <v>57</v>
      </c>
      <c r="M38" s="23">
        <f>GETPIVOTDATA("Temp",Pivot!$Y$6,"Year",M$15,"Zone",$C38)</f>
        <v>58</v>
      </c>
      <c r="N38" s="23">
        <f>GETPIVOTDATA("Temp",Pivot!$Y$6,"Year",N$15,"Zone",$C38)</f>
        <v>64</v>
      </c>
    </row>
    <row r="39" spans="3:23" ht="18" hidden="1" outlineLevel="1" x14ac:dyDescent="0.55000000000000004">
      <c r="C39" s="32" t="s">
        <v>12</v>
      </c>
      <c r="D39" s="5"/>
      <c r="E39" s="23">
        <f>GETPIVOTDATA("Temp",Pivot!$Y$6,"Year",E$15,"Zone",$C39)</f>
        <v>52</v>
      </c>
      <c r="F39" s="23">
        <f>GETPIVOTDATA("Temp",Pivot!$Y$6,"Year",F$15,"Zone",$C39)</f>
        <v>54</v>
      </c>
      <c r="G39" s="23">
        <f>GETPIVOTDATA("Temp",Pivot!$Y$6,"Year",G$15,"Zone",$C39)</f>
        <v>54</v>
      </c>
      <c r="H39" s="23">
        <f>GETPIVOTDATA("Temp",Pivot!$Y$6,"Year",H$15,"Zone",$C39)</f>
        <v>56</v>
      </c>
      <c r="I39" s="23">
        <f>GETPIVOTDATA("Temp",Pivot!$Y$6,"Year",I$15,"Zone",$C39)</f>
        <v>61</v>
      </c>
      <c r="J39" s="23">
        <f>GETPIVOTDATA("Temp",Pivot!$Y$6,"Year",J$15,"Zone",$C39)</f>
        <v>66</v>
      </c>
      <c r="K39" s="23">
        <f>GETPIVOTDATA("Temp",Pivot!$Y$6,"Year",K$15,"Zone",$C39)</f>
        <v>68</v>
      </c>
      <c r="L39" s="23">
        <f>GETPIVOTDATA("Temp",Pivot!$Y$6,"Year",L$15,"Zone",$C39)</f>
        <v>60</v>
      </c>
      <c r="M39" s="23">
        <f>GETPIVOTDATA("Temp",Pivot!$Y$6,"Year",M$15,"Zone",$C39)</f>
        <v>64</v>
      </c>
      <c r="N39" s="23">
        <f>GETPIVOTDATA("Temp",Pivot!$Y$6,"Year",N$15,"Zone",$C39)</f>
        <v>76</v>
      </c>
    </row>
    <row r="40" spans="3:23" ht="18" hidden="1" outlineLevel="1" x14ac:dyDescent="0.55000000000000004">
      <c r="C40" s="32" t="s">
        <v>13</v>
      </c>
      <c r="D40" s="5"/>
      <c r="E40" s="23">
        <f>GETPIVOTDATA("Temp",Pivot!$Y$6,"Year",E$15,"Zone",$C40)</f>
        <v>20</v>
      </c>
      <c r="F40" s="23">
        <f>GETPIVOTDATA("Temp",Pivot!$Y$6,"Year",F$15,"Zone",$C40)</f>
        <v>19</v>
      </c>
      <c r="G40" s="23">
        <f>GETPIVOTDATA("Temp",Pivot!$Y$6,"Year",G$15,"Zone",$C40)</f>
        <v>6</v>
      </c>
      <c r="H40" s="23">
        <f>GETPIVOTDATA("Temp",Pivot!$Y$6,"Year",H$15,"Zone",$C40)</f>
        <v>10</v>
      </c>
      <c r="I40" s="23">
        <f>GETPIVOTDATA("Temp",Pivot!$Y$6,"Year",I$15,"Zone",$C40)</f>
        <v>18</v>
      </c>
      <c r="J40" s="23">
        <f>GETPIVOTDATA("Temp",Pivot!$Y$6,"Year",J$15,"Zone",$C40)</f>
        <v>23</v>
      </c>
      <c r="K40" s="23">
        <f>GETPIVOTDATA("Temp",Pivot!$Y$6,"Year",K$15,"Zone",$C40)</f>
        <v>26</v>
      </c>
      <c r="L40" s="23">
        <f>GETPIVOTDATA("Temp",Pivot!$Y$6,"Year",L$15,"Zone",$C40)</f>
        <v>25</v>
      </c>
      <c r="M40" s="23">
        <f>GETPIVOTDATA("Temp",Pivot!$Y$6,"Year",M$15,"Zone",$C40)</f>
        <v>30</v>
      </c>
      <c r="N40" s="23">
        <f>GETPIVOTDATA("Temp",Pivot!$Y$6,"Year",N$15,"Zone",$C40)</f>
        <v>23</v>
      </c>
    </row>
    <row r="41" spans="3:23" ht="18" hidden="1" outlineLevel="1" x14ac:dyDescent="0.55000000000000004">
      <c r="C41" s="32" t="s">
        <v>14</v>
      </c>
      <c r="D41" s="5"/>
      <c r="E41" s="23">
        <f>GETPIVOTDATA("Temp",Pivot!$Y$6,"Year",E$15,"Zone",$C41)</f>
        <v>76</v>
      </c>
      <c r="F41" s="23">
        <f>GETPIVOTDATA("Temp",Pivot!$Y$6,"Year",F$15,"Zone",$C41)</f>
        <v>36</v>
      </c>
      <c r="G41" s="23">
        <f>GETPIVOTDATA("Temp",Pivot!$Y$6,"Year",G$15,"Zone",$C41)</f>
        <v>117</v>
      </c>
      <c r="H41" s="23">
        <f>GETPIVOTDATA("Temp",Pivot!$Y$6,"Year",H$15,"Zone",$C41)</f>
        <v>50</v>
      </c>
      <c r="I41" s="23">
        <f>GETPIVOTDATA("Temp",Pivot!$Y$6,"Year",I$15,"Zone",$C41)</f>
        <v>85</v>
      </c>
      <c r="J41" s="23">
        <f>GETPIVOTDATA("Temp",Pivot!$Y$6,"Year",J$15,"Zone",$C41)</f>
        <v>38</v>
      </c>
      <c r="K41" s="23">
        <f>GETPIVOTDATA("Temp",Pivot!$Y$6,"Year",K$15,"Zone",$C41)</f>
        <v>93</v>
      </c>
      <c r="L41" s="23">
        <f>GETPIVOTDATA("Temp",Pivot!$Y$6,"Year",L$15,"Zone",$C41)</f>
        <v>32</v>
      </c>
      <c r="M41" s="23">
        <f>GETPIVOTDATA("Temp",Pivot!$Y$6,"Year",M$15,"Zone",$C41)</f>
        <v>67</v>
      </c>
      <c r="N41" s="23">
        <f>GETPIVOTDATA("Temp",Pivot!$Y$6,"Year",N$15,"Zone",$C41)</f>
        <v>47</v>
      </c>
    </row>
    <row r="42" spans="3:23" ht="18" hidden="1" outlineLevel="1" x14ac:dyDescent="0.55000000000000004">
      <c r="C42" s="32" t="s">
        <v>6</v>
      </c>
      <c r="D42" s="5"/>
      <c r="E42" s="23">
        <f>GETPIVOTDATA("Temp",Pivot!$Y$6,"Year",E$15,"Zone",$C42)</f>
        <v>45</v>
      </c>
      <c r="F42" s="23">
        <f>GETPIVOTDATA("Temp",Pivot!$Y$6,"Year",F$15,"Zone",$C42)</f>
        <v>40</v>
      </c>
      <c r="G42" s="23">
        <f>GETPIVOTDATA("Temp",Pivot!$Y$6,"Year",G$15,"Zone",$C42)</f>
        <v>48</v>
      </c>
      <c r="H42" s="23">
        <f>GETPIVOTDATA("Temp",Pivot!$Y$6,"Year",H$15,"Zone",$C42)</f>
        <v>40</v>
      </c>
      <c r="I42" s="23">
        <f>GETPIVOTDATA("Temp",Pivot!$Y$6,"Year",I$15,"Zone",$C42)</f>
        <v>51</v>
      </c>
      <c r="J42" s="23">
        <f>GETPIVOTDATA("Temp",Pivot!$Y$6,"Year",J$15,"Zone",$C42)</f>
        <v>48</v>
      </c>
      <c r="K42" s="23">
        <f>GETPIVOTDATA("Temp",Pivot!$Y$6,"Year",K$15,"Zone",$C42)</f>
        <v>58</v>
      </c>
      <c r="L42" s="23">
        <f>GETPIVOTDATA("Temp",Pivot!$Y$6,"Year",L$15,"Zone",$C42)</f>
        <v>44</v>
      </c>
      <c r="M42" s="23">
        <f>GETPIVOTDATA("Temp",Pivot!$Y$6,"Year",M$15,"Zone",$C42)</f>
        <v>54</v>
      </c>
      <c r="N42" s="23">
        <f>GETPIVOTDATA("Temp",Pivot!$Y$6,"Year",N$15,"Zone",$C42)</f>
        <v>54</v>
      </c>
    </row>
    <row r="43" spans="3:23" ht="18" hidden="1" outlineLevel="1" x14ac:dyDescent="0.55000000000000004">
      <c r="C43" s="32" t="s">
        <v>3</v>
      </c>
      <c r="D43" s="5"/>
      <c r="E43" s="23">
        <f>GETPIVOTDATA("Temp",Pivot!$Y$6,"Year",E$15,"Zone",$C43)</f>
        <v>55</v>
      </c>
      <c r="F43" s="23">
        <f>GETPIVOTDATA("Temp",Pivot!$Y$6,"Year",F$15,"Zone",$C43)</f>
        <v>47</v>
      </c>
      <c r="G43" s="23">
        <f>GETPIVOTDATA("Temp",Pivot!$Y$6,"Year",G$15,"Zone",$C43)</f>
        <v>49</v>
      </c>
      <c r="H43" s="23">
        <f>GETPIVOTDATA("Temp",Pivot!$Y$6,"Year",H$15,"Zone",$C43)</f>
        <v>42</v>
      </c>
      <c r="I43" s="23">
        <f>GETPIVOTDATA("Temp",Pivot!$Y$6,"Year",I$15,"Zone",$C43)</f>
        <v>59</v>
      </c>
      <c r="J43" s="23">
        <f>GETPIVOTDATA("Temp",Pivot!$Y$6,"Year",J$15,"Zone",$C43)</f>
        <v>55</v>
      </c>
      <c r="K43" s="23">
        <f>GETPIVOTDATA("Temp",Pivot!$Y$6,"Year",K$15,"Zone",$C43)</f>
        <v>50</v>
      </c>
      <c r="L43" s="23">
        <f>GETPIVOTDATA("Temp",Pivot!$Y$6,"Year",L$15,"Zone",$C43)</f>
        <v>50</v>
      </c>
      <c r="M43" s="23">
        <f>GETPIVOTDATA("Temp",Pivot!$Y$6,"Year",M$15,"Zone",$C43)</f>
        <v>56</v>
      </c>
      <c r="N43" s="23">
        <f>GETPIVOTDATA("Temp",Pivot!$Y$6,"Year",N$15,"Zone",$C43)</f>
        <v>58</v>
      </c>
    </row>
    <row r="44" spans="3:23" s="34" customFormat="1" ht="7.9" x14ac:dyDescent="0.25">
      <c r="C44" s="33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3:23" x14ac:dyDescent="0.5">
      <c r="E45" s="14" t="str">
        <f>+V45&amp;" vs "&amp;E15&amp;" - "&amp;N15&amp;" Average, by Month"</f>
        <v>2007 vs 2005 - 2014 Average, by Month</v>
      </c>
      <c r="F45" s="14"/>
      <c r="G45" s="14"/>
      <c r="H45" s="14"/>
      <c r="I45" s="14"/>
      <c r="J45" s="14"/>
      <c r="K45" s="14"/>
      <c r="L45" s="14"/>
      <c r="M45" s="14"/>
      <c r="N45" s="14"/>
      <c r="V45" s="1">
        <v>2007</v>
      </c>
      <c r="W45" s="1" t="s">
        <v>40</v>
      </c>
    </row>
    <row r="46" spans="3:23" x14ac:dyDescent="0.5">
      <c r="D46" s="15" t="s">
        <v>41</v>
      </c>
      <c r="H46" s="19"/>
      <c r="U46" s="17" t="s">
        <v>15</v>
      </c>
      <c r="V46" s="18">
        <f>GETPIVOTDATA("Temp",Pivot!$C$6,"Year",$V$45,"Month",U46)</f>
        <v>97</v>
      </c>
      <c r="W46" s="30">
        <f>+AVERAGE(E19:N19)</f>
        <v>62.4</v>
      </c>
    </row>
    <row r="47" spans="3:23" x14ac:dyDescent="0.5">
      <c r="D47" s="15"/>
      <c r="H47" s="19"/>
      <c r="U47" s="17" t="s">
        <v>16</v>
      </c>
      <c r="V47" s="18">
        <f>GETPIVOTDATA("Temp",Pivot!$C$6,"Year",$V$45,"Month",U47)</f>
        <v>70</v>
      </c>
      <c r="W47" s="30">
        <f>+AVERAGE(E20:N20)</f>
        <v>57.6</v>
      </c>
    </row>
    <row r="48" spans="3:23" x14ac:dyDescent="0.5">
      <c r="D48" s="15"/>
      <c r="H48" s="19"/>
      <c r="U48" s="17" t="s">
        <v>17</v>
      </c>
      <c r="V48" s="18">
        <f>GETPIVOTDATA("Temp",Pivot!$C$6,"Year",$V$45,"Month",U48)</f>
        <v>70</v>
      </c>
      <c r="W48" s="30">
        <f>+AVERAGE(E21:N21)</f>
        <v>68.599999999999994</v>
      </c>
    </row>
    <row r="49" spans="4:23" x14ac:dyDescent="0.5">
      <c r="D49" s="15"/>
      <c r="H49" s="19"/>
      <c r="U49" s="17" t="s">
        <v>18</v>
      </c>
      <c r="V49" s="18">
        <f>GETPIVOTDATA("Temp",Pivot!$C$6,"Year",$V$45,"Month",U49)</f>
        <v>75</v>
      </c>
      <c r="W49" s="30">
        <f>+AVERAGE(E22:N22)</f>
        <v>66.2</v>
      </c>
    </row>
    <row r="50" spans="4:23" x14ac:dyDescent="0.5">
      <c r="D50" s="15"/>
      <c r="H50" s="19"/>
      <c r="U50" s="17" t="s">
        <v>20</v>
      </c>
      <c r="V50" s="18">
        <f>GETPIVOTDATA("Temp",Pivot!$C$6,"Year",$V$45,"Month",U50)</f>
        <v>59</v>
      </c>
      <c r="W50" s="30">
        <f>+AVERAGE(E23:N23)</f>
        <v>62</v>
      </c>
    </row>
    <row r="51" spans="4:23" x14ac:dyDescent="0.5">
      <c r="D51" s="15"/>
      <c r="H51" s="19"/>
      <c r="U51" s="17" t="s">
        <v>21</v>
      </c>
      <c r="V51" s="18">
        <f>GETPIVOTDATA("Temp",Pivot!$C$6,"Year",$V$45,"Month",U51)</f>
        <v>62</v>
      </c>
      <c r="W51" s="30">
        <f>+AVERAGE(E24:N24)</f>
        <v>62.4</v>
      </c>
    </row>
    <row r="52" spans="4:23" x14ac:dyDescent="0.5">
      <c r="D52" s="15"/>
      <c r="H52" s="19"/>
      <c r="U52" s="17" t="s">
        <v>22</v>
      </c>
      <c r="V52" s="18">
        <f>GETPIVOTDATA("Temp",Pivot!$C$6,"Year",$V$45,"Month",U52)</f>
        <v>61</v>
      </c>
      <c r="W52" s="30">
        <f>+AVERAGE(E25:N25)</f>
        <v>65.8</v>
      </c>
    </row>
    <row r="53" spans="4:23" x14ac:dyDescent="0.5">
      <c r="D53" s="15"/>
      <c r="H53" s="19"/>
      <c r="U53" s="17" t="s">
        <v>23</v>
      </c>
      <c r="V53" s="18">
        <f>GETPIVOTDATA("Temp",Pivot!$C$6,"Year",$V$45,"Month",U53)</f>
        <v>65</v>
      </c>
      <c r="W53" s="30">
        <f>+AVERAGE(E26:N26)</f>
        <v>69.8</v>
      </c>
    </row>
    <row r="54" spans="4:23" x14ac:dyDescent="0.5">
      <c r="D54" s="15"/>
      <c r="H54" s="19"/>
      <c r="U54" s="17" t="s">
        <v>24</v>
      </c>
      <c r="V54" s="18">
        <f>GETPIVOTDATA("Temp",Pivot!$C$6,"Year",$V$45,"Month",U54)</f>
        <v>61</v>
      </c>
      <c r="W54" s="30">
        <f>+AVERAGE(E27:N27)</f>
        <v>71.599999999999994</v>
      </c>
    </row>
    <row r="55" spans="4:23" x14ac:dyDescent="0.5">
      <c r="D55" s="15"/>
      <c r="H55" s="19"/>
      <c r="U55" s="17" t="s">
        <v>25</v>
      </c>
      <c r="V55" s="18">
        <f>GETPIVOTDATA("Temp",Pivot!$C$6,"Year",$V$45,"Month",U55)</f>
        <v>57</v>
      </c>
      <c r="W55" s="30">
        <f>+AVERAGE(E28:N28)</f>
        <v>70.8</v>
      </c>
    </row>
    <row r="56" spans="4:23" x14ac:dyDescent="0.5">
      <c r="D56" s="15"/>
      <c r="H56" s="19"/>
      <c r="U56" s="17" t="s">
        <v>26</v>
      </c>
      <c r="V56" s="18">
        <f>GETPIVOTDATA("Temp",Pivot!$C$6,"Year",$V$45,"Month",U56)</f>
        <v>49</v>
      </c>
      <c r="W56" s="30">
        <f>+AVERAGE(E29:N29)</f>
        <v>61.5</v>
      </c>
    </row>
    <row r="57" spans="4:23" s="34" customFormat="1" ht="7.9" x14ac:dyDescent="0.25"/>
    <row r="58" spans="4:23" x14ac:dyDescent="0.5">
      <c r="E58" s="14" t="str">
        <f>+V58&amp;" vs "&amp;E15&amp;" - "&amp;N15&amp;" Average, by Region"</f>
        <v>2007 vs 2005 - 2014 Average, by Region</v>
      </c>
      <c r="F58" s="14"/>
      <c r="G58" s="14"/>
      <c r="H58" s="14"/>
      <c r="I58" s="14"/>
      <c r="J58" s="14"/>
      <c r="K58" s="14"/>
      <c r="L58" s="14"/>
      <c r="M58" s="14"/>
      <c r="N58" s="14"/>
      <c r="V58" s="1">
        <f>V45</f>
        <v>2007</v>
      </c>
      <c r="W58" s="1" t="str">
        <f>W45</f>
        <v>AVG</v>
      </c>
    </row>
    <row r="59" spans="4:23" x14ac:dyDescent="0.5">
      <c r="D59" s="15" t="s">
        <v>41</v>
      </c>
      <c r="U59" t="s">
        <v>2</v>
      </c>
      <c r="V59" s="18">
        <f>GETPIVOTDATA("Temp",Pivot!$Y$6,"Year",$V$58,"Zone",U59)</f>
        <v>83</v>
      </c>
      <c r="W59" s="30">
        <f>+AVERAGE(E31:N31)</f>
        <v>78.7</v>
      </c>
    </row>
    <row r="60" spans="4:23" x14ac:dyDescent="0.5">
      <c r="D60" s="15"/>
      <c r="U60" t="s">
        <v>4</v>
      </c>
      <c r="V60" s="18">
        <f>GETPIVOTDATA("Temp",Pivot!$Y$6,"Year",$V$58,"Zone",U60)</f>
        <v>110</v>
      </c>
      <c r="W60" s="30">
        <f t="shared" ref="W60:W71" si="2">+AVERAGE(E32:N32)</f>
        <v>94.9</v>
      </c>
    </row>
    <row r="61" spans="4:23" x14ac:dyDescent="0.5">
      <c r="D61" s="15"/>
      <c r="U61" t="s">
        <v>7</v>
      </c>
      <c r="V61" s="18">
        <f>GETPIVOTDATA("Temp",Pivot!$Y$6,"Year",$V$58,"Zone",U61)</f>
        <v>201</v>
      </c>
      <c r="W61" s="30">
        <f t="shared" si="2"/>
        <v>175.2</v>
      </c>
    </row>
    <row r="62" spans="4:23" x14ac:dyDescent="0.5">
      <c r="D62" s="15"/>
      <c r="U62" t="s">
        <v>8</v>
      </c>
      <c r="V62" s="18">
        <f>GETPIVOTDATA("Temp",Pivot!$Y$6,"Year",$V$58,"Zone",U62)</f>
        <v>129</v>
      </c>
      <c r="W62" s="30">
        <f t="shared" si="2"/>
        <v>99.1</v>
      </c>
    </row>
    <row r="63" spans="4:23" x14ac:dyDescent="0.5">
      <c r="D63" s="15"/>
      <c r="U63" t="s">
        <v>9</v>
      </c>
      <c r="V63" s="18">
        <f>GETPIVOTDATA("Temp",Pivot!$Y$6,"Year",$V$58,"Zone",U63)</f>
        <v>69</v>
      </c>
      <c r="W63" s="30">
        <f t="shared" si="2"/>
        <v>66.8</v>
      </c>
    </row>
    <row r="64" spans="4:23" x14ac:dyDescent="0.5">
      <c r="D64" s="15"/>
      <c r="U64" t="s">
        <v>10</v>
      </c>
      <c r="V64" s="18">
        <f>GETPIVOTDATA("Temp",Pivot!$Y$6,"Year",$V$58,"Zone",U64)</f>
        <v>44</v>
      </c>
      <c r="W64" s="30">
        <f t="shared" si="2"/>
        <v>54.2</v>
      </c>
    </row>
    <row r="65" spans="4:23" x14ac:dyDescent="0.5">
      <c r="D65" s="15"/>
      <c r="U65" t="s">
        <v>5</v>
      </c>
      <c r="V65" s="18">
        <f>GETPIVOTDATA("Temp",Pivot!$Y$6,"Year",$V$58,"Zone",U65)</f>
        <v>47</v>
      </c>
      <c r="W65" s="30">
        <f t="shared" si="2"/>
        <v>55.7</v>
      </c>
    </row>
    <row r="66" spans="4:23" x14ac:dyDescent="0.5">
      <c r="D66" s="15"/>
      <c r="U66" t="s">
        <v>11</v>
      </c>
      <c r="V66" s="18">
        <f>GETPIVOTDATA("Temp",Pivot!$Y$6,"Year",$V$58,"Zone",U66)</f>
        <v>50</v>
      </c>
      <c r="W66" s="30">
        <f t="shared" si="2"/>
        <v>57.5</v>
      </c>
    </row>
    <row r="67" spans="4:23" x14ac:dyDescent="0.5">
      <c r="D67" s="15"/>
      <c r="U67" t="s">
        <v>12</v>
      </c>
      <c r="V67" s="18">
        <f>GETPIVOTDATA("Temp",Pivot!$Y$6,"Year",$V$58,"Zone",U67)</f>
        <v>54</v>
      </c>
      <c r="W67" s="30">
        <f t="shared" si="2"/>
        <v>61.1</v>
      </c>
    </row>
    <row r="68" spans="4:23" x14ac:dyDescent="0.5">
      <c r="D68" s="15"/>
      <c r="U68" t="s">
        <v>13</v>
      </c>
      <c r="V68" s="18">
        <f>GETPIVOTDATA("Temp",Pivot!$Y$6,"Year",$V$58,"Zone",U68)</f>
        <v>6</v>
      </c>
      <c r="W68" s="30">
        <f t="shared" si="2"/>
        <v>20</v>
      </c>
    </row>
    <row r="69" spans="4:23" x14ac:dyDescent="0.5">
      <c r="D69" s="15"/>
      <c r="U69" t="s">
        <v>14</v>
      </c>
      <c r="V69" s="18">
        <f>GETPIVOTDATA("Temp",Pivot!$Y$6,"Year",$V$58,"Zone",U69)</f>
        <v>117</v>
      </c>
      <c r="W69" s="30">
        <f t="shared" si="2"/>
        <v>64.099999999999994</v>
      </c>
    </row>
    <row r="70" spans="4:23" x14ac:dyDescent="0.5">
      <c r="U70" t="s">
        <v>6</v>
      </c>
      <c r="V70" s="18">
        <f>GETPIVOTDATA("Temp",Pivot!$Y$6,"Year",$V$58,"Zone",U70)</f>
        <v>48</v>
      </c>
      <c r="W70" s="30">
        <f t="shared" si="2"/>
        <v>48.2</v>
      </c>
    </row>
    <row r="71" spans="4:23" x14ac:dyDescent="0.5">
      <c r="U71" t="s">
        <v>3</v>
      </c>
      <c r="V71" s="18">
        <f>GETPIVOTDATA("Temp",Pivot!$Y$6,"Year",$V$58,"Zone",U71)</f>
        <v>49</v>
      </c>
      <c r="W71" s="30">
        <f t="shared" si="2"/>
        <v>52.1</v>
      </c>
    </row>
  </sheetData>
  <mergeCells count="7">
    <mergeCell ref="D59:D69"/>
    <mergeCell ref="C16:C17"/>
    <mergeCell ref="D46:D56"/>
    <mergeCell ref="E45:N45"/>
    <mergeCell ref="E58:N58"/>
    <mergeCell ref="E2:N2"/>
    <mergeCell ref="D4:D13"/>
  </mergeCells>
  <conditionalFormatting sqref="E19:N2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1:N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7:N18 E30:N30 E44:N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5:H15">
    <cfRule type="expression" dxfId="1" priority="10">
      <formula>E$15:N$15=$V$45</formula>
    </cfRule>
  </conditionalFormatting>
  <conditionalFormatting sqref="I15:N15 P15:Q15">
    <cfRule type="expression" dxfId="0" priority="11">
      <formula>I$15:U$15=$V$45</formula>
    </cfRule>
  </conditionalFormatting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Data2</vt:lpstr>
      <vt:lpstr>Pivot</vt:lpstr>
      <vt:lpstr>Rep</vt:lpstr>
      <vt:lpstr>Rep!Print_Area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Gustavo</cp:lastModifiedBy>
  <dcterms:created xsi:type="dcterms:W3CDTF">2018-05-06T15:22:34Z</dcterms:created>
  <dcterms:modified xsi:type="dcterms:W3CDTF">2018-05-06T20:01:42Z</dcterms:modified>
</cp:coreProperties>
</file>